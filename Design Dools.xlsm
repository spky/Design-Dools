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A55ECC9E-83C9-4025-80FD-1D93A3517004}" xr6:coauthVersionLast="47" xr6:coauthVersionMax="47" xr10:uidLastSave="{00000000-0000-0000-0000-000000000000}"/>
  <bookViews>
    <workbookView xWindow="-120" yWindow="-120" windowWidth="38640" windowHeight="21240" activeTab="1" xr2:uid="{6F0B30F9-4582-4E2D-A35A-950F4E72D355}"/>
  </bookViews>
  <sheets>
    <sheet name="Bolt in a Tapped Hole" sheetId="1" r:id="rId1"/>
    <sheet name="Manual Bolt Geometry" sheetId="3" r:id="rId2"/>
    <sheet name="ASME B1.1-2003 Dimension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91" i="3" l="1" a="1"/>
  <c r="B111" i="3" a="1"/>
  <c r="B65" i="3" a="1"/>
  <c r="B91" i="3" l="1"/>
  <c r="B111" i="3"/>
  <c r="B65" i="3"/>
  <c r="B46" i="3"/>
  <c r="D46" i="3" s="1"/>
  <c r="E46" i="3" s="1"/>
  <c r="G46" i="3" s="1"/>
  <c r="H46" i="3" s="1"/>
  <c r="B45" i="3"/>
  <c r="D45" i="3" s="1"/>
  <c r="E45" i="3" s="1"/>
  <c r="G45" i="3" s="1"/>
  <c r="H45" i="3" s="1"/>
  <c r="B47" i="3"/>
  <c r="B48" i="3"/>
  <c r="D48" i="3" s="1"/>
  <c r="E48" i="3" s="1"/>
  <c r="G48" i="3" s="1"/>
  <c r="H48" i="3" s="1"/>
  <c r="B49" i="3"/>
  <c r="D49" i="3" s="1"/>
  <c r="E49" i="3" s="1"/>
  <c r="G49" i="3" s="1"/>
  <c r="H49" i="3" s="1"/>
  <c r="B50" i="3"/>
  <c r="D50" i="3" s="1"/>
  <c r="E50" i="3" s="1"/>
  <c r="G50" i="3" s="1"/>
  <c r="H50" i="3" s="1"/>
  <c r="B51" i="3"/>
  <c r="D51" i="3" s="1"/>
  <c r="E51" i="3" s="1"/>
  <c r="G51" i="3" s="1"/>
  <c r="H51" i="3" s="1"/>
  <c r="B52" i="3"/>
  <c r="D52" i="3" s="1"/>
  <c r="E52" i="3" s="1"/>
  <c r="G52" i="3" s="1"/>
  <c r="H52" i="3" s="1"/>
  <c r="B53" i="3"/>
  <c r="D53" i="3" s="1"/>
  <c r="E53" i="3" s="1"/>
  <c r="G53" i="3" s="1"/>
  <c r="H53" i="3" s="1"/>
  <c r="B54" i="3"/>
  <c r="D54" i="3" s="1"/>
  <c r="E54" i="3" s="1"/>
  <c r="G54" i="3" s="1"/>
  <c r="H54" i="3" s="1"/>
  <c r="B55" i="3"/>
  <c r="D55" i="3" s="1"/>
  <c r="E55" i="3" s="1"/>
  <c r="G55" i="3" s="1"/>
  <c r="H55" i="3" s="1"/>
  <c r="B56" i="3"/>
  <c r="D56" i="3" s="1"/>
  <c r="E56" i="3" s="1"/>
  <c r="G56" i="3" s="1"/>
  <c r="H56" i="3" s="1"/>
  <c r="B44" i="3"/>
  <c r="D44" i="3" s="1"/>
  <c r="E44" i="3" s="1"/>
  <c r="G44" i="3" s="1"/>
  <c r="H44" i="3" s="1"/>
  <c r="D47" i="3"/>
  <c r="E47" i="3" s="1"/>
  <c r="G47" i="3" s="1"/>
  <c r="H47" i="3" s="1"/>
  <c r="D27" i="3"/>
  <c r="G27" i="3" s="1"/>
  <c r="D28" i="3"/>
  <c r="G28" i="3" s="1"/>
  <c r="D29" i="3"/>
  <c r="G29" i="3" s="1"/>
  <c r="D30" i="3"/>
  <c r="G30" i="3" s="1"/>
  <c r="D31" i="3"/>
  <c r="G31" i="3" s="1"/>
  <c r="D32" i="3"/>
  <c r="G32" i="3" s="1"/>
  <c r="D33" i="3"/>
  <c r="G33" i="3" s="1"/>
  <c r="D34" i="3"/>
  <c r="G34" i="3" s="1"/>
  <c r="D35" i="3"/>
  <c r="G35" i="3" s="1"/>
  <c r="D36" i="3"/>
  <c r="G36" i="3" s="1"/>
  <c r="D37" i="3"/>
  <c r="G37" i="3" s="1"/>
  <c r="D38" i="3"/>
  <c r="G38" i="3" s="1"/>
  <c r="D26" i="3"/>
  <c r="G26" i="3" s="1"/>
  <c r="B35" i="3"/>
  <c r="B33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2" i="2"/>
  <c r="L1" i="1"/>
  <c r="M3" i="1" s="1"/>
  <c r="M10" i="1" s="1"/>
  <c r="M11" i="1" s="1"/>
  <c r="N3" i="1"/>
  <c r="N11" i="1" s="1"/>
  <c r="O52" i="1"/>
  <c r="O53" i="1" s="1"/>
  <c r="O45" i="1"/>
  <c r="O49" i="1" s="1"/>
  <c r="M51" i="1"/>
  <c r="M52" i="1" s="1"/>
  <c r="M50" i="1"/>
  <c r="M48" i="1"/>
  <c r="M49" i="1" s="1"/>
  <c r="M46" i="1"/>
  <c r="M47" i="1" s="1"/>
  <c r="M45" i="1"/>
  <c r="M54" i="1" s="1"/>
  <c r="N33" i="1"/>
  <c r="N39" i="1" s="1"/>
  <c r="N31" i="1"/>
  <c r="N35" i="1" s="1"/>
  <c r="N41" i="1" s="1"/>
  <c r="N20" i="1"/>
  <c r="N26" i="1" s="1"/>
  <c r="N19" i="1"/>
  <c r="N25" i="1" s="1"/>
  <c r="N17" i="1"/>
  <c r="N21" i="1" s="1"/>
  <c r="D37" i="1"/>
  <c r="L45" i="1" s="1"/>
  <c r="M37" i="1"/>
  <c r="M40" i="1" s="1"/>
  <c r="M32" i="1"/>
  <c r="M33" i="1" s="1"/>
  <c r="M31" i="1"/>
  <c r="M35" i="1" s="1"/>
  <c r="M38" i="1"/>
  <c r="M39" i="1" s="1"/>
  <c r="M24" i="1"/>
  <c r="M25" i="1" s="1"/>
  <c r="M23" i="1"/>
  <c r="M26" i="1" s="1"/>
  <c r="M18" i="1"/>
  <c r="M19" i="1" s="1"/>
  <c r="M17" i="1"/>
  <c r="M20" i="1" s="1"/>
  <c r="E33" i="1"/>
  <c r="F33" i="1"/>
  <c r="E31" i="1"/>
  <c r="F31" i="1"/>
  <c r="E30" i="1"/>
  <c r="F30" i="1"/>
  <c r="E24" i="1"/>
  <c r="F24" i="1"/>
  <c r="E23" i="1"/>
  <c r="F23" i="1"/>
  <c r="E22" i="1"/>
  <c r="F22" i="1"/>
  <c r="E16" i="1"/>
  <c r="F16" i="1"/>
  <c r="E15" i="1"/>
  <c r="F15" i="1"/>
  <c r="E14" i="1"/>
  <c r="F14" i="1"/>
  <c r="E8" i="1"/>
  <c r="F8" i="1"/>
  <c r="E7" i="1"/>
  <c r="F7" i="1"/>
  <c r="E6" i="1"/>
  <c r="F6" i="1"/>
  <c r="E5" i="1"/>
  <c r="F5" i="1"/>
  <c r="E3" i="1"/>
  <c r="F3" i="1"/>
  <c r="I3" i="1" a="1"/>
  <c r="B38" i="3" a="1"/>
  <c r="D16" i="3" a="1"/>
  <c r="B15" i="3" a="1"/>
  <c r="D20" i="3" a="1"/>
  <c r="B24" i="3" a="1"/>
  <c r="D15" i="3" a="1"/>
  <c r="D18" i="3" a="1"/>
  <c r="B17" i="3" a="1"/>
  <c r="A68" i="3" a="1"/>
  <c r="B21" i="3" a="1"/>
  <c r="B19" i="3" a="1"/>
  <c r="B13" i="3" a="1"/>
  <c r="D21" i="3" a="1"/>
  <c r="D19" i="3" a="1"/>
  <c r="B16" i="3" a="1"/>
  <c r="B23" i="3" a="1"/>
  <c r="B20" i="3" a="1"/>
  <c r="D17" i="3" a="1"/>
  <c r="B18" i="3" a="1"/>
  <c r="B22" i="3" a="1"/>
  <c r="B38" i="3" l="1"/>
  <c r="A68" i="3"/>
  <c r="B24" i="3"/>
  <c r="B23" i="3"/>
  <c r="B18" i="3"/>
  <c r="D16" i="3"/>
  <c r="D21" i="3"/>
  <c r="B17" i="3"/>
  <c r="D18" i="3"/>
  <c r="D17" i="3"/>
  <c r="D15" i="3"/>
  <c r="B19" i="3"/>
  <c r="D20" i="3"/>
  <c r="B16" i="3"/>
  <c r="B20" i="3"/>
  <c r="B22" i="3"/>
  <c r="D19" i="3"/>
  <c r="B21" i="3"/>
  <c r="B15" i="3"/>
  <c r="B13" i="3"/>
  <c r="I3" i="1"/>
  <c r="N4" i="1"/>
  <c r="N5" i="1" s="1"/>
  <c r="N6" i="1" s="1"/>
  <c r="N8" i="1"/>
  <c r="N9" i="1" s="1"/>
  <c r="N10" i="1" s="1"/>
  <c r="M8" i="1"/>
  <c r="M9" i="1" s="1"/>
  <c r="M6" i="1"/>
  <c r="M7" i="1" s="1"/>
  <c r="M4" i="1"/>
  <c r="M5" i="1" s="1"/>
  <c r="N34" i="1"/>
  <c r="N40" i="1" s="1"/>
  <c r="L44" i="1"/>
  <c r="O51" i="1"/>
  <c r="O46" i="1"/>
  <c r="O47" i="1" s="1"/>
  <c r="O48" i="1"/>
  <c r="M53" i="1"/>
  <c r="N37" i="1"/>
  <c r="N32" i="1"/>
  <c r="N38" i="1" s="1"/>
  <c r="N18" i="1"/>
  <c r="N24" i="1" s="1"/>
  <c r="N27" i="1"/>
  <c r="N23" i="1"/>
  <c r="M41" i="1"/>
  <c r="M34" i="1"/>
  <c r="M27" i="1"/>
  <c r="M21" i="1"/>
  <c r="N7" i="1" l="1"/>
  <c r="N47" i="1"/>
  <c r="P47" i="1"/>
  <c r="P48" i="1" s="1"/>
  <c r="P53" i="1"/>
  <c r="P54" i="1" s="1"/>
  <c r="P45" i="1"/>
  <c r="N45" i="1"/>
  <c r="O55" i="1"/>
  <c r="O54" i="1"/>
  <c r="N54" i="1" l="1"/>
  <c r="N46" i="1"/>
  <c r="P46" i="1"/>
  <c r="P51" i="1"/>
  <c r="P49" i="1"/>
  <c r="N48" i="1"/>
  <c r="N53" i="1"/>
  <c r="N52" i="1" l="1"/>
  <c r="N49" i="1"/>
  <c r="P55" i="1"/>
  <c r="P52" i="1"/>
  <c r="N51" i="1" l="1"/>
  <c r="N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<sst xmlns="http://schemas.openxmlformats.org/spreadsheetml/2006/main" count="855" uniqueCount="239">
  <si>
    <t>Name</t>
  </si>
  <si>
    <t>Unit</t>
  </si>
  <si>
    <t>in</t>
  </si>
  <si>
    <t>Thread Pitch</t>
  </si>
  <si>
    <t>threads/in</t>
  </si>
  <si>
    <t>Length</t>
  </si>
  <si>
    <t>Threaded Length from Bottom End</t>
  </si>
  <si>
    <t>Nominal Value</t>
  </si>
  <si>
    <t>Bolt Info</t>
  </si>
  <si>
    <t>Bolt Head Diameter</t>
  </si>
  <si>
    <t>Bolt Head Height</t>
  </si>
  <si>
    <t>Plate Name</t>
  </si>
  <si>
    <t>Washer</t>
  </si>
  <si>
    <t>Thickness</t>
  </si>
  <si>
    <t>string</t>
  </si>
  <si>
    <t>Plate #1 Info</t>
  </si>
  <si>
    <t>Hole Diameter</t>
  </si>
  <si>
    <t>Plate #2 Info</t>
  </si>
  <si>
    <t>Loose Plate</t>
  </si>
  <si>
    <t>Edge Distance</t>
  </si>
  <si>
    <t>Outer Diameter</t>
  </si>
  <si>
    <t>Type</t>
  </si>
  <si>
    <t>Specific Washer</t>
  </si>
  <si>
    <t>Through Hole Plate</t>
  </si>
  <si>
    <t>Threaded Plate</t>
  </si>
  <si>
    <t>Static Plate</t>
  </si>
  <si>
    <t>Thread Major Diameter</t>
  </si>
  <si>
    <t>Bolt Major Diameter</t>
  </si>
  <si>
    <t>thread/in</t>
  </si>
  <si>
    <t>Plate #3 Info</t>
  </si>
  <si>
    <t>Negative Tolerance</t>
  </si>
  <si>
    <t>Positive Tolerance</t>
  </si>
  <si>
    <t>Minimum Value</t>
  </si>
  <si>
    <t>Maximum Value</t>
  </si>
  <si>
    <t>x coordinate</t>
  </si>
  <si>
    <t>y coordinate</t>
  </si>
  <si>
    <t>Left Washer</t>
  </si>
  <si>
    <t>Left Plate</t>
  </si>
  <si>
    <t>Washer Axis X Coordinate</t>
  </si>
  <si>
    <t>Plate Axis X Coordinate</t>
  </si>
  <si>
    <t>Plate Top Y Coordinate</t>
  </si>
  <si>
    <t>Drill End Angle</t>
  </si>
  <si>
    <t>Hole Depth</t>
  </si>
  <si>
    <t>Thread Depth</t>
  </si>
  <si>
    <t>Tap Pilot Diameter</t>
  </si>
  <si>
    <t>Drill End Point Height</t>
  </si>
  <si>
    <t>Thread</t>
  </si>
  <si>
    <t>Bolt Axis X Coordinate</t>
  </si>
  <si>
    <t>Washer Top Y Coordinate</t>
  </si>
  <si>
    <t>Bolt Head Bottom Y Coordinate</t>
  </si>
  <si>
    <t>Bolt</t>
  </si>
  <si>
    <t>0–80</t>
  </si>
  <si>
    <t>or</t>
  </si>
  <si>
    <t>0.060–80</t>
  </si>
  <si>
    <t>UNF</t>
  </si>
  <si>
    <t>2A</t>
  </si>
  <si>
    <t>2B</t>
  </si>
  <si>
    <t>3A</t>
  </si>
  <si>
    <t>3B</t>
  </si>
  <si>
    <t>1–64</t>
  </si>
  <si>
    <t>0.073–64</t>
  </si>
  <si>
    <t>UNC</t>
  </si>
  <si>
    <t>1–72</t>
  </si>
  <si>
    <t>0.073–72</t>
  </si>
  <si>
    <t>2–56</t>
  </si>
  <si>
    <t>0.086–56</t>
  </si>
  <si>
    <t>2–64</t>
  </si>
  <si>
    <t>0.086–64</t>
  </si>
  <si>
    <t>3–48</t>
  </si>
  <si>
    <t>0.099–48</t>
  </si>
  <si>
    <t>3–56</t>
  </si>
  <si>
    <t>0.099–56</t>
  </si>
  <si>
    <t>4–40</t>
  </si>
  <si>
    <t>0.112–40</t>
  </si>
  <si>
    <t>4–48</t>
  </si>
  <si>
    <t>0.112–48</t>
  </si>
  <si>
    <t>5–40</t>
  </si>
  <si>
    <t>0.125–40</t>
  </si>
  <si>
    <t>5–44</t>
  </si>
  <si>
    <t>0.125–44</t>
  </si>
  <si>
    <t>6–32</t>
  </si>
  <si>
    <t>0.138–32</t>
  </si>
  <si>
    <t>6–40</t>
  </si>
  <si>
    <t>0.138–40</t>
  </si>
  <si>
    <t>Nominal Size and Threads/in</t>
  </si>
  <si>
    <t>Allowance</t>
  </si>
  <si>
    <t>Major Diameter Max</t>
  </si>
  <si>
    <t>Major Diameter Min</t>
  </si>
  <si>
    <t>Pitch Diameter Max</t>
  </si>
  <si>
    <t>Pitch Diameter Min</t>
  </si>
  <si>
    <t>Pitch Diameter Tolerance</t>
  </si>
  <si>
    <t>UNR Minor Diameter, Max</t>
  </si>
  <si>
    <t>Internal Thread Class</t>
  </si>
  <si>
    <t>Minor Diameter Min</t>
  </si>
  <si>
    <t>Minor Diameter Max</t>
  </si>
  <si>
    <t>UNEF</t>
  </si>
  <si>
    <t>1A</t>
  </si>
  <si>
    <t>1B</t>
  </si>
  <si>
    <t>UN</t>
  </si>
  <si>
    <t>Major Diameter Min Note 3</t>
  </si>
  <si>
    <t>0.164-32</t>
  </si>
  <si>
    <t>0.164-36</t>
  </si>
  <si>
    <t>0.190-24</t>
  </si>
  <si>
    <t>0.190-32</t>
  </si>
  <si>
    <t>0.216-24</t>
  </si>
  <si>
    <t>0.216-28</t>
  </si>
  <si>
    <t>0.216-32</t>
  </si>
  <si>
    <t>1⁄4-20</t>
  </si>
  <si>
    <t>0.2500-20</t>
  </si>
  <si>
    <t>1⁄4-28</t>
  </si>
  <si>
    <t>0.2500-28</t>
  </si>
  <si>
    <t>1⁄4-32</t>
  </si>
  <si>
    <t>0.2500-32</t>
  </si>
  <si>
    <t>5⁄16-18</t>
  </si>
  <si>
    <t>0.3125-18</t>
  </si>
  <si>
    <t>5⁄16-20</t>
  </si>
  <si>
    <t>0.3125-20</t>
  </si>
  <si>
    <t>5⁄16-24</t>
  </si>
  <si>
    <t>0.3125-24</t>
  </si>
  <si>
    <t>5⁄16-28</t>
  </si>
  <si>
    <t>0.3125-28</t>
  </si>
  <si>
    <t>5⁄16-32</t>
  </si>
  <si>
    <t>0.3125-32</t>
  </si>
  <si>
    <t>3⁄8-16</t>
  </si>
  <si>
    <t>0.3750-16</t>
  </si>
  <si>
    <t>3⁄8-20</t>
  </si>
  <si>
    <t>0.3750-20</t>
  </si>
  <si>
    <t>3⁄8-24</t>
  </si>
  <si>
    <t>0.3750-24</t>
  </si>
  <si>
    <t>3⁄8-28</t>
  </si>
  <si>
    <t>0.3750-28</t>
  </si>
  <si>
    <t>3⁄8-32</t>
  </si>
  <si>
    <t>0.3750-32</t>
  </si>
  <si>
    <t>7⁄16-14</t>
  </si>
  <si>
    <t>0.4375-14</t>
  </si>
  <si>
    <t>7⁄16-16</t>
  </si>
  <si>
    <t>0.4375-16</t>
  </si>
  <si>
    <t>7⁄16-20</t>
  </si>
  <si>
    <t>0.4375-20</t>
  </si>
  <si>
    <t>7⁄16-28</t>
  </si>
  <si>
    <t>0.4375-28</t>
  </si>
  <si>
    <t>7⁄16-32</t>
  </si>
  <si>
    <t>0.4375-32</t>
  </si>
  <si>
    <t>1⁄2-13</t>
  </si>
  <si>
    <t>0.5000-13</t>
  </si>
  <si>
    <t>1⁄2-16</t>
  </si>
  <si>
    <t>0.5000-16</t>
  </si>
  <si>
    <t>1⁄2-20</t>
  </si>
  <si>
    <t>0.5000-20</t>
  </si>
  <si>
    <t>1⁄2-28</t>
  </si>
  <si>
    <t>0.5000-28</t>
  </si>
  <si>
    <t>1⁄2-32</t>
  </si>
  <si>
    <t>0.5000-32</t>
  </si>
  <si>
    <t>9⁄16-12</t>
  </si>
  <si>
    <t>0.5625-12</t>
  </si>
  <si>
    <t>9⁄16-16</t>
  </si>
  <si>
    <t>0.5625-16</t>
  </si>
  <si>
    <t>9⁄16-18</t>
  </si>
  <si>
    <t>0.5625-18</t>
  </si>
  <si>
    <t>9⁄16-20</t>
  </si>
  <si>
    <t>0.5625-20</t>
  </si>
  <si>
    <t>9⁄16-24</t>
  </si>
  <si>
    <t>0.5625-24</t>
  </si>
  <si>
    <t>10-32</t>
  </si>
  <si>
    <t>12-24</t>
  </si>
  <si>
    <t>12-28</t>
  </si>
  <si>
    <t>8-32</t>
  </si>
  <si>
    <t>8-36</t>
  </si>
  <si>
    <t>10-24</t>
  </si>
  <si>
    <t>12-32</t>
  </si>
  <si>
    <t>Fractional/Number Thread</t>
  </si>
  <si>
    <t>Or Column</t>
  </si>
  <si>
    <t>Decimal Thread</t>
  </si>
  <si>
    <t>Coarse/Fine</t>
  </si>
  <si>
    <t>Thread Class</t>
  </si>
  <si>
    <t>Bolt Type</t>
  </si>
  <si>
    <t>Socket Head Cap Screw</t>
  </si>
  <si>
    <t>Incomplete Thread End Length/End Chamfer Height</t>
  </si>
  <si>
    <t>Threaded Length from End</t>
  </si>
  <si>
    <t>Dimension Name</t>
  </si>
  <si>
    <t>Limit Dimensions</t>
  </si>
  <si>
    <t>Max</t>
  </si>
  <si>
    <t>Thread Dimension Output</t>
  </si>
  <si>
    <t>External Major Diameter Max</t>
  </si>
  <si>
    <t>External Major Diameter Min</t>
  </si>
  <si>
    <t>External Major Diameter ASME Note 3</t>
  </si>
  <si>
    <t>External Pitch Diameter Max</t>
  </si>
  <si>
    <t>External Pitch Diameter Min</t>
  </si>
  <si>
    <t>External Pitch Diameter Tolerance</t>
  </si>
  <si>
    <t>External Thread Class</t>
  </si>
  <si>
    <t>External UNR Minor Diameter Max Reference</t>
  </si>
  <si>
    <t>Thread Name</t>
  </si>
  <si>
    <t>Internal Thread Major Diameter Min</t>
  </si>
  <si>
    <t>Internal Thread Minor Diameter Max</t>
  </si>
  <si>
    <t>Internal Thread Minor Diameter Min</t>
  </si>
  <si>
    <t>Internal Thread Pitch Diameter Max</t>
  </si>
  <si>
    <t>Internal Thread Pitch Diameter Min</t>
  </si>
  <si>
    <t>Internal Thread Pitch Diameter Tolerance</t>
  </si>
  <si>
    <t>External Thread</t>
  </si>
  <si>
    <t>Internal Thread</t>
  </si>
  <si>
    <t>Thread Size</t>
  </si>
  <si>
    <t>Body Diameter Max</t>
  </si>
  <si>
    <t>Body Diameter Min</t>
  </si>
  <si>
    <t>Head Diameter Max</t>
  </si>
  <si>
    <t>Head Diameter Min</t>
  </si>
  <si>
    <t>Head Height Max</t>
  </si>
  <si>
    <t>Head Height Min</t>
  </si>
  <si>
    <t>Incomplete Thread Length at End</t>
  </si>
  <si>
    <t>Minimum Threaded Length</t>
  </si>
  <si>
    <t>Screw Length Min</t>
  </si>
  <si>
    <t>Screw Length Max</t>
  </si>
  <si>
    <t>1⁄4-28 or 0.2500-28 UNF CLASS 3</t>
  </si>
  <si>
    <t>Chart Generator Testing</t>
  </si>
  <si>
    <t>Chart Title</t>
  </si>
  <si>
    <t>Test Chart</t>
  </si>
  <si>
    <t>Data 2</t>
  </si>
  <si>
    <t>Data 1</t>
  </si>
  <si>
    <t>Data 3</t>
  </si>
  <si>
    <t>External Thread Minor Diameter Max</t>
  </si>
  <si>
    <t>External Thread Minor Diameter Min</t>
  </si>
  <si>
    <t>Bolt Test Chart</t>
  </si>
  <si>
    <t>Plotted?</t>
  </si>
  <si>
    <t>MMC</t>
  </si>
  <si>
    <t>Material Condition</t>
  </si>
  <si>
    <t>Graphical Bolted Joint</t>
  </si>
  <si>
    <t>Bolted Joint Test Chart</t>
  </si>
  <si>
    <t>Bolt Material Condition</t>
  </si>
  <si>
    <t>Value Name</t>
  </si>
  <si>
    <t>Min</t>
  </si>
  <si>
    <t>Plate Type</t>
  </si>
  <si>
    <t>Test Washer</t>
  </si>
  <si>
    <t>Washer Tested</t>
  </si>
  <si>
    <t>Plate Testing</t>
  </si>
  <si>
    <t>Bolt Name</t>
  </si>
  <si>
    <t>Test Bolt</t>
  </si>
  <si>
    <t>Thru Hole Plate</t>
  </si>
  <si>
    <t>Test Plate</t>
  </si>
  <si>
    <t>Plate Material Condition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</si>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</sst>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/>
    <xf numFmtId="17" fontId="0" fillId="0" borderId="0" xfId="0" quotePrefix="1" applyNumberFormat="1"/>
    <xf numFmtId="16" fontId="0" fillId="0" borderId="0" xfId="0" quotePrefix="1" applyNumberFormat="1"/>
    <xf numFmtId="0" fontId="0" fillId="0" borderId="0" xfId="0" quotePrefix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279092239836969E-2"/>
          <c:y val="2.4884213692038495E-2"/>
          <c:w val="0.94367358393688028"/>
          <c:h val="0.96238421369203841"/>
        </c:manualLayout>
      </c:layout>
      <c:scatterChart>
        <c:scatterStyle val="lineMarker"/>
        <c:varyColors val="0"/>
        <c:ser>
          <c:idx val="0"/>
          <c:order val="0"/>
          <c:tx>
            <c:v>Washer Left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'Bolt in a Tapped Hole'!$M$17:$M$27</c:f>
              <c:numCache>
                <c:formatCode>General</c:formatCode>
                <c:ptCount val="11"/>
                <c:pt idx="0">
                  <c:v>-0.3125</c:v>
                </c:pt>
                <c:pt idx="1">
                  <c:v>-0.14000000000000001</c:v>
                </c:pt>
                <c:pt idx="2">
                  <c:v>-0.14000000000000001</c:v>
                </c:pt>
                <c:pt idx="3">
                  <c:v>-0.3125</c:v>
                </c:pt>
                <c:pt idx="4">
                  <c:v>-0.3125</c:v>
                </c:pt>
                <c:pt idx="6">
                  <c:v>0.3125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0.3125</c:v>
                </c:pt>
                <c:pt idx="10">
                  <c:v>0.3125</c:v>
                </c:pt>
              </c:numCache>
            </c:numRef>
          </c:xVal>
          <c:yVal>
            <c:numRef>
              <c:f>'Bolt in a Tapped Hole'!$N$17:$N$27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0.05</c:v>
                </c:pt>
                <c:pt idx="9">
                  <c:v>0.05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0-4FF2-AA32-8E28F829200E}"/>
            </c:ext>
          </c:extLst>
        </c:ser>
        <c:ser>
          <c:idx val="2"/>
          <c:order val="2"/>
          <c:tx>
            <c:strRef>
              <c:f>'Bolt in a Tapped Hole'!$M$29</c:f>
              <c:strCache>
                <c:ptCount val="1"/>
                <c:pt idx="0">
                  <c:v>Left Plate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'Bolt in a Tapped Hole'!$M$31:$M$41</c:f>
              <c:numCache>
                <c:formatCode>General</c:formatCode>
                <c:ptCount val="11"/>
                <c:pt idx="0">
                  <c:v>-0.375</c:v>
                </c:pt>
                <c:pt idx="1">
                  <c:v>-0.2</c:v>
                </c:pt>
                <c:pt idx="2">
                  <c:v>-0.2</c:v>
                </c:pt>
                <c:pt idx="3">
                  <c:v>-0.375</c:v>
                </c:pt>
                <c:pt idx="4">
                  <c:v>-0.375</c:v>
                </c:pt>
                <c:pt idx="6">
                  <c:v>0.375</c:v>
                </c:pt>
                <c:pt idx="7">
                  <c:v>0.2</c:v>
                </c:pt>
                <c:pt idx="8">
                  <c:v>0.2</c:v>
                </c:pt>
                <c:pt idx="9">
                  <c:v>0.375</c:v>
                </c:pt>
                <c:pt idx="10">
                  <c:v>0.375</c:v>
                </c:pt>
              </c:numCache>
            </c:numRef>
          </c:xVal>
          <c:yVal>
            <c:numRef>
              <c:f>'Bolt in a Tapped Hole'!$N$31:$N$41</c:f>
              <c:numCache>
                <c:formatCode>General</c:formatCode>
                <c:ptCount val="11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</c:v>
                </c:pt>
                <c:pt idx="4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0</c:v>
                </c:pt>
                <c:pt idx="9">
                  <c:v>0</c:v>
                </c:pt>
                <c:pt idx="10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80-4FF2-AA32-8E28F829200E}"/>
            </c:ext>
          </c:extLst>
        </c:ser>
        <c:ser>
          <c:idx val="4"/>
          <c:order val="4"/>
          <c:tx>
            <c:strRef>
              <c:f>'Bolt in a Tapped Hole'!$M$43</c:f>
              <c:strCache>
                <c:ptCount val="1"/>
                <c:pt idx="0">
                  <c:v>Threaded Plate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398-4764-8B95-18A4B83F48F3}"/>
              </c:ext>
            </c:extLst>
          </c:dPt>
          <c:xVal>
            <c:numRef>
              <c:f>'Bolt in a Tapped Hole'!$M$45:$M$54</c:f>
              <c:numCache>
                <c:formatCode>General</c:formatCode>
                <c:ptCount val="10"/>
                <c:pt idx="0">
                  <c:v>-0.375</c:v>
                </c:pt>
                <c:pt idx="1">
                  <c:v>0.375</c:v>
                </c:pt>
                <c:pt idx="2">
                  <c:v>0.375</c:v>
                </c:pt>
                <c:pt idx="3">
                  <c:v>0.10050000000000001</c:v>
                </c:pt>
                <c:pt idx="4">
                  <c:v>0.10050000000000001</c:v>
                </c:pt>
                <c:pt idx="5">
                  <c:v>0</c:v>
                </c:pt>
                <c:pt idx="6">
                  <c:v>-0.10050000000000001</c:v>
                </c:pt>
                <c:pt idx="7">
                  <c:v>-0.10050000000000001</c:v>
                </c:pt>
                <c:pt idx="8">
                  <c:v>-0.375</c:v>
                </c:pt>
                <c:pt idx="9">
                  <c:v>-0.375</c:v>
                </c:pt>
              </c:numCache>
            </c:numRef>
          </c:xVal>
          <c:yVal>
            <c:numRef>
              <c:f>'Bolt in a Tapped Hole'!$N$45:$N$54</c:f>
              <c:numCache>
                <c:formatCode>General</c:formatCode>
                <c:ptCount val="10"/>
                <c:pt idx="0">
                  <c:v>-1.25</c:v>
                </c:pt>
                <c:pt idx="1">
                  <c:v>-1.25</c:v>
                </c:pt>
                <c:pt idx="2">
                  <c:v>-0.25</c:v>
                </c:pt>
                <c:pt idx="3">
                  <c:v>-0.25</c:v>
                </c:pt>
                <c:pt idx="4">
                  <c:v>-0.75</c:v>
                </c:pt>
                <c:pt idx="5">
                  <c:v>-0.81038649221226977</c:v>
                </c:pt>
                <c:pt idx="6">
                  <c:v>-0.75</c:v>
                </c:pt>
                <c:pt idx="7">
                  <c:v>-0.25</c:v>
                </c:pt>
                <c:pt idx="8">
                  <c:v>-0.25</c:v>
                </c:pt>
                <c:pt idx="9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98-4764-8B95-18A4B83F48F3}"/>
            </c:ext>
          </c:extLst>
        </c:ser>
        <c:ser>
          <c:idx val="5"/>
          <c:order val="5"/>
          <c:tx>
            <c:strRef>
              <c:f>'Bolt in a Tapped Hole'!$O$43</c:f>
              <c:strCache>
                <c:ptCount val="1"/>
                <c:pt idx="0">
                  <c:v>Thread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'Bolt in a Tapped Hole'!$O$45:$O$55</c:f>
              <c:numCache>
                <c:formatCode>General</c:formatCode>
                <c:ptCount val="11"/>
                <c:pt idx="0">
                  <c:v>-0.125</c:v>
                </c:pt>
                <c:pt idx="1">
                  <c:v>-0.10050000000000001</c:v>
                </c:pt>
                <c:pt idx="2">
                  <c:v>-0.10050000000000001</c:v>
                </c:pt>
                <c:pt idx="3">
                  <c:v>-0.125</c:v>
                </c:pt>
                <c:pt idx="4">
                  <c:v>-0.125</c:v>
                </c:pt>
                <c:pt idx="6">
                  <c:v>0.10050000000000001</c:v>
                </c:pt>
                <c:pt idx="7">
                  <c:v>0.125</c:v>
                </c:pt>
                <c:pt idx="8">
                  <c:v>0.125</c:v>
                </c:pt>
                <c:pt idx="9">
                  <c:v>0.10050000000000001</c:v>
                </c:pt>
                <c:pt idx="10">
                  <c:v>0.10050000000000001</c:v>
                </c:pt>
              </c:numCache>
            </c:numRef>
          </c:xVal>
          <c:yVal>
            <c:numRef>
              <c:f>'Bolt in a Tapped Hole'!$P$45:$P$55</c:f>
              <c:numCache>
                <c:formatCode>General</c:formatCode>
                <c:ptCount val="11"/>
                <c:pt idx="0">
                  <c:v>-0.625</c:v>
                </c:pt>
                <c:pt idx="1">
                  <c:v>-0.625</c:v>
                </c:pt>
                <c:pt idx="2">
                  <c:v>-0.25</c:v>
                </c:pt>
                <c:pt idx="3">
                  <c:v>-0.25</c:v>
                </c:pt>
                <c:pt idx="4">
                  <c:v>-0.625</c:v>
                </c:pt>
                <c:pt idx="6">
                  <c:v>-0.625</c:v>
                </c:pt>
                <c:pt idx="7">
                  <c:v>-0.625</c:v>
                </c:pt>
                <c:pt idx="8">
                  <c:v>-0.25</c:v>
                </c:pt>
                <c:pt idx="9">
                  <c:v>-0.25</c:v>
                </c:pt>
                <c:pt idx="10">
                  <c:v>-0.625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98-4764-8B95-18A4B83F48F3}"/>
            </c:ext>
          </c:extLst>
        </c:ser>
        <c:ser>
          <c:idx val="7"/>
          <c:order val="7"/>
          <c:tx>
            <c:strRef>
              <c:f>'Bolt in a Tapped Hole'!$M$1</c:f>
              <c:strCache>
                <c:ptCount val="1"/>
                <c:pt idx="0">
                  <c:v>Bolt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'Bolt in a Tapped Hole'!$M$3:$M$11</c:f>
              <c:numCache>
                <c:formatCode>General</c:formatCode>
                <c:ptCount val="9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0.125</c:v>
                </c:pt>
                <c:pt idx="4">
                  <c:v>0.125</c:v>
                </c:pt>
                <c:pt idx="5">
                  <c:v>0.1875</c:v>
                </c:pt>
                <c:pt idx="6">
                  <c:v>0.1875</c:v>
                </c:pt>
                <c:pt idx="7">
                  <c:v>-0.1875</c:v>
                </c:pt>
                <c:pt idx="8">
                  <c:v>-0.1875</c:v>
                </c:pt>
              </c:numCache>
            </c:numRef>
          </c:xVal>
          <c:yVal>
            <c:numRef>
              <c:f>'Bolt in a Tapped Hole'!$N$3:$N$11</c:f>
              <c:numCache>
                <c:formatCode>General</c:formatCode>
                <c:ptCount val="9"/>
                <c:pt idx="0">
                  <c:v>0.05</c:v>
                </c:pt>
                <c:pt idx="1">
                  <c:v>0.05</c:v>
                </c:pt>
                <c:pt idx="2">
                  <c:v>-0.54999999999999993</c:v>
                </c:pt>
                <c:pt idx="3">
                  <c:v>-0.54999999999999993</c:v>
                </c:pt>
                <c:pt idx="4">
                  <c:v>0.05</c:v>
                </c:pt>
                <c:pt idx="5">
                  <c:v>0.05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98-4764-8B95-18A4B83F4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659904"/>
        <c:axId val="7176641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Washer Right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'Bolt in a Tapped Hole'!$M$23:$M$27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0.3125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0.3125</c:v>
                      </c:pt>
                      <c:pt idx="4">
                        <c:v>0.3125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'Bolt in a Tapped Hole'!$N$23:$N$27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0.05</c:v>
                      </c:pt>
                      <c:pt idx="3">
                        <c:v>0.05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6D80-4FF2-AA32-8E28F829200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Hole'!$M$37:$M$41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0.375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0.375</c:v>
                      </c:pt>
                      <c:pt idx="4">
                        <c:v>0.375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Hole'!$N$37:$N$41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-0.25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-0.25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398-4764-8B95-18A4B83F48F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Hole'!$O$51:$O$55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0.10050000000000001</c:v>
                      </c:pt>
                      <c:pt idx="1">
                        <c:v>0.125</c:v>
                      </c:pt>
                      <c:pt idx="2">
                        <c:v>0.125</c:v>
                      </c:pt>
                      <c:pt idx="3">
                        <c:v>0.10050000000000001</c:v>
                      </c:pt>
                      <c:pt idx="4">
                        <c:v>0.10050000000000001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Hole'!$P$51:$P$55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-0.625</c:v>
                      </c:pt>
                      <c:pt idx="1">
                        <c:v>-0.625</c:v>
                      </c:pt>
                      <c:pt idx="2">
                        <c:v>-0.25</c:v>
                      </c:pt>
                      <c:pt idx="3">
                        <c:v>-0.25</c:v>
                      </c:pt>
                      <c:pt idx="4">
                        <c:v>-0.625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398-4764-8B95-18A4B83F48F3}"/>
                  </c:ext>
                </c:extLst>
              </c15:ser>
            </c15:filteredScatterSeries>
          </c:ext>
        </c:extLst>
      </c:scatterChart>
      <c:valAx>
        <c:axId val="7176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64168"/>
        <c:crosses val="autoZero"/>
        <c:crossBetween val="midCat"/>
      </c:valAx>
      <c:valAx>
        <c:axId val="71766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59904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Test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Bolt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'Manual Bolt Geometry'!$A$68:$A$82</c:f>
              <c:numCache>
                <c:formatCode>General</c:formatCode>
                <c:ptCount val="15"/>
                <c:pt idx="0">
                  <c:v>0</c:v>
                </c:pt>
              </c:numCache>
            </c:numRef>
          </c:xVal>
          <c:yVal>
            <c:numRef>
              <c:f>'Manual Bolt Geometry'!$B$68:$B$82</c:f>
              <c:numCache>
                <c:formatCode>General</c:formatCode>
                <c:ptCount val="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D7-4F2A-8D14-4F4B483C0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435528"/>
        <c:axId val="751430608"/>
      </c:scatterChart>
      <c:valAx>
        <c:axId val="751435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430608"/>
        <c:crosses val="autoZero"/>
        <c:crossBetween val="midCat"/>
      </c:valAx>
      <c:valAx>
        <c:axId val="75143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435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Bolted Joint Test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Test Bolt Left Thread</c:v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-0.10505</c:v>
              </c:pt>
              <c:pt idx="1">
                <c:v>-0.10505</c:v>
              </c:pt>
            </c:numLit>
          </c:xVal>
          <c:yVal>
            <c:numLit>
              <c:formatCode>General</c:formatCode>
              <c:ptCount val="2"/>
              <c:pt idx="0">
                <c:v>-3.0000000000000027E-2</c:v>
              </c:pt>
              <c:pt idx="1">
                <c:v>-0.375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E82-4722-9132-0B4BC93B7A80}"/>
            </c:ext>
          </c:extLst>
        </c:ser>
        <c:ser>
          <c:idx val="1"/>
          <c:order val="1"/>
          <c:tx>
            <c:v>Test Bolt Right Thread</c:v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0.10505</c:v>
              </c:pt>
              <c:pt idx="1">
                <c:v>0.10505</c:v>
              </c:pt>
            </c:numLit>
          </c:xVal>
          <c:yVal>
            <c:numLit>
              <c:formatCode>General</c:formatCode>
              <c:ptCount val="2"/>
              <c:pt idx="0">
                <c:v>-3.0000000000000027E-2</c:v>
              </c:pt>
              <c:pt idx="1">
                <c:v>-0.375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E82-4722-9132-0B4BC93B7A80}"/>
            </c:ext>
          </c:extLst>
        </c:ser>
        <c:ser>
          <c:idx val="2"/>
          <c:order val="2"/>
          <c:tx>
            <c:v>Test Bolt</c:v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5"/>
              <c:pt idx="0">
                <c:v>-0.1875</c:v>
              </c:pt>
              <c:pt idx="1">
                <c:v>-0.125</c:v>
              </c:pt>
              <c:pt idx="2">
                <c:v>-0.125</c:v>
              </c:pt>
              <c:pt idx="3">
                <c:v>-0.125</c:v>
              </c:pt>
              <c:pt idx="4">
                <c:v>-0.125</c:v>
              </c:pt>
              <c:pt idx="5">
                <c:v>-0.10505</c:v>
              </c:pt>
              <c:pt idx="6">
                <c:v>0.10505</c:v>
              </c:pt>
              <c:pt idx="7">
                <c:v>0.125</c:v>
              </c:pt>
              <c:pt idx="8">
                <c:v>0.125</c:v>
              </c:pt>
              <c:pt idx="9">
                <c:v>0.125</c:v>
              </c:pt>
              <c:pt idx="10">
                <c:v>0.125</c:v>
              </c:pt>
              <c:pt idx="11">
                <c:v>0.1875</c:v>
              </c:pt>
              <c:pt idx="12">
                <c:v>0.1875</c:v>
              </c:pt>
              <c:pt idx="13">
                <c:v>-0.1875</c:v>
              </c:pt>
              <c:pt idx="14">
                <c:v>-0.1875</c:v>
              </c:pt>
            </c:numLit>
          </c:xVal>
          <c:yVal>
            <c:numLit>
              <c:formatCode>General</c:formatCode>
              <c:ptCount val="15"/>
              <c:pt idx="0">
                <c:v>0</c:v>
              </c:pt>
              <c:pt idx="1">
                <c:v>0</c:v>
              </c:pt>
              <c:pt idx="2">
                <c:v>-3.0000000000000027E-2</c:v>
              </c:pt>
              <c:pt idx="3">
                <c:v>-3.0000000000000027E-2</c:v>
              </c:pt>
              <c:pt idx="4">
                <c:v>-0.3392857142857143</c:v>
              </c:pt>
              <c:pt idx="5">
                <c:v>-0.375</c:v>
              </c:pt>
              <c:pt idx="6">
                <c:v>-0.375</c:v>
              </c:pt>
              <c:pt idx="7">
                <c:v>-0.3392857142857143</c:v>
              </c:pt>
              <c:pt idx="8">
                <c:v>-3.0000000000000027E-2</c:v>
              </c:pt>
              <c:pt idx="9">
                <c:v>-3.0000000000000027E-2</c:v>
              </c:pt>
              <c:pt idx="10">
                <c:v>0</c:v>
              </c:pt>
              <c:pt idx="11">
                <c:v>0</c:v>
              </c:pt>
              <c:pt idx="12">
                <c:v>0.25</c:v>
              </c:pt>
              <c:pt idx="13">
                <c:v>0.25</c:v>
              </c:pt>
              <c:pt idx="1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E82-4722-9132-0B4BC93B7A80}"/>
            </c:ext>
          </c:extLst>
        </c:ser>
        <c:ser>
          <c:idx val="5"/>
          <c:order val="3"/>
          <c:tx>
            <c:v>Test Plate Left</c:v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"/>
              <c:pt idx="0">
                <c:v>-0.25</c:v>
              </c:pt>
              <c:pt idx="1">
                <c:v>-0.25</c:v>
              </c:pt>
              <c:pt idx="2">
                <c:v>-0.14000000000000001</c:v>
              </c:pt>
              <c:pt idx="3">
                <c:v>-0.14000000000000001</c:v>
              </c:pt>
              <c:pt idx="4">
                <c:v>-0.25</c:v>
              </c:pt>
            </c:numLit>
          </c:xVal>
          <c:yVal>
            <c:numLit>
              <c:formatCode>General</c:formatCode>
              <c:ptCount val="5"/>
              <c:pt idx="0">
                <c:v>0.1125</c:v>
              </c:pt>
              <c:pt idx="1">
                <c:v>0</c:v>
              </c:pt>
              <c:pt idx="2">
                <c:v>0</c:v>
              </c:pt>
              <c:pt idx="3">
                <c:v>0.1125</c:v>
              </c:pt>
              <c:pt idx="4">
                <c:v>0.1125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AE82-4722-9132-0B4BC93B7A80}"/>
            </c:ext>
          </c:extLst>
        </c:ser>
        <c:ser>
          <c:idx val="6"/>
          <c:order val="4"/>
          <c:tx>
            <c:v>Test Plate Right</c:v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"/>
              <c:pt idx="0">
                <c:v>0.25</c:v>
              </c:pt>
              <c:pt idx="1">
                <c:v>0.25</c:v>
              </c:pt>
              <c:pt idx="2">
                <c:v>0.14000000000000001</c:v>
              </c:pt>
              <c:pt idx="3">
                <c:v>0.14000000000000001</c:v>
              </c:pt>
              <c:pt idx="4">
                <c:v>0.25</c:v>
              </c:pt>
            </c:numLit>
          </c:xVal>
          <c:yVal>
            <c:numLit>
              <c:formatCode>General</c:formatCode>
              <c:ptCount val="5"/>
              <c:pt idx="0">
                <c:v>0.1125</c:v>
              </c:pt>
              <c:pt idx="1">
                <c:v>0</c:v>
              </c:pt>
              <c:pt idx="2">
                <c:v>0</c:v>
              </c:pt>
              <c:pt idx="3">
                <c:v>0.1125</c:v>
              </c:pt>
              <c:pt idx="4">
                <c:v>0.1125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AE82-4722-9132-0B4BC93B7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471264"/>
        <c:axId val="747471920"/>
      </c:scatterChart>
      <c:valAx>
        <c:axId val="74747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71920"/>
        <c:crosses val="autoZero"/>
        <c:crossBetween val="midCat"/>
      </c:valAx>
      <c:valAx>
        <c:axId val="74747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71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72626</xdr:colOff>
      <xdr:row>2</xdr:row>
      <xdr:rowOff>89295</xdr:rowOff>
    </xdr:from>
    <xdr:to>
      <xdr:col>26</xdr:col>
      <xdr:colOff>101201</xdr:colOff>
      <xdr:row>40</xdr:row>
      <xdr:rowOff>165495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2F15D0-7AA3-44E8-B480-B51E35292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138545</xdr:colOff>
      <xdr:row>62</xdr:row>
      <xdr:rowOff>53686</xdr:rowOff>
    </xdr:from>
    <xdr:to>
      <xdr:col>5</xdr:col>
      <xdr:colOff>1086715</xdr:colOff>
      <xdr:row>76</xdr:row>
      <xdr:rowOff>129886</xdr:rowOff>
    </xdr:to>
    <xdr:graphicFrame macro="">
      <xdr:nvGraphicFramePr>
        <xdr:cNvPr id="11" name="Bolt Test Chart">
          <a:extLst>
            <a:ext uri="{FF2B5EF4-FFF2-40B4-BE49-F238E27FC236}">
              <a16:creationId xmlns:a16="http://schemas.microsoft.com/office/drawing/2014/main" id="{E85E4530-9B2A-44C2-AA1C-8BFF15203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1147762</xdr:colOff>
      <xdr:row>83</xdr:row>
      <xdr:rowOff>17650</xdr:rowOff>
    </xdr:from>
    <xdr:to>
      <xdr:col>5</xdr:col>
      <xdr:colOff>2103064</xdr:colOff>
      <xdr:row>98</xdr:row>
      <xdr:rowOff>93850</xdr:rowOff>
    </xdr:to>
    <xdr:graphicFrame macro="">
      <xdr:nvGraphicFramePr>
        <xdr:cNvPr id="2" name="Bolted Joint Test Chart">
          <a:extLst>
            <a:ext uri="{FF2B5EF4-FFF2-40B4-BE49-F238E27FC236}">
              <a16:creationId xmlns:a16="http://schemas.microsoft.com/office/drawing/2014/main" id="{0D210F2B-927F-437C-AFD9-7B327B9FB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29D5-A887-4156-88D4-A44B692FF2E8}">
  <sheetPr codeName="Sheet1"/>
  <dimension ref="A1:P55"/>
  <sheetViews>
    <sheetView zoomScaleNormal="100" workbookViewId="0">
      <selection activeCell="D26" sqref="D26"/>
    </sheetView>
  </sheetViews>
  <sheetFormatPr defaultRowHeight="15" x14ac:dyDescent="0.25"/>
  <cols>
    <col min="1" max="1" width="32" bestFit="1" customWidth="1"/>
    <col min="2" max="2" width="18.140625" bestFit="1" customWidth="1"/>
    <col min="3" max="6" width="18.140625" customWidth="1"/>
    <col min="7" max="7" width="10.28515625" bestFit="1" customWidth="1"/>
    <col min="10" max="10" width="14.42578125" customWidth="1"/>
    <col min="11" max="11" width="28.85546875" bestFit="1" customWidth="1"/>
    <col min="12" max="12" width="12" bestFit="1" customWidth="1"/>
    <col min="13" max="13" width="14.5703125" bestFit="1" customWidth="1"/>
    <col min="14" max="14" width="15.140625" customWidth="1"/>
    <col min="15" max="15" width="12.7109375" bestFit="1" customWidth="1"/>
    <col min="16" max="16" width="12" bestFit="1" customWidth="1"/>
    <col min="17" max="17" width="12.140625" bestFit="1" customWidth="1"/>
    <col min="18" max="18" width="12" bestFit="1" customWidth="1"/>
  </cols>
  <sheetData>
    <row r="1" spans="1:14" x14ac:dyDescent="0.25">
      <c r="A1" s="1" t="s">
        <v>8</v>
      </c>
      <c r="B1" s="1"/>
      <c r="C1" s="1"/>
      <c r="D1" s="1"/>
      <c r="E1" s="1"/>
      <c r="F1" s="1"/>
      <c r="G1" s="1"/>
      <c r="K1" t="s">
        <v>47</v>
      </c>
      <c r="L1">
        <f>L43</f>
        <v>0</v>
      </c>
      <c r="M1" t="s">
        <v>50</v>
      </c>
    </row>
    <row r="2" spans="1:14" x14ac:dyDescent="0.25">
      <c r="A2" t="s">
        <v>0</v>
      </c>
      <c r="B2" t="s">
        <v>7</v>
      </c>
      <c r="C2" t="s">
        <v>31</v>
      </c>
      <c r="D2" t="s">
        <v>30</v>
      </c>
      <c r="E2" t="s">
        <v>33</v>
      </c>
      <c r="F2" t="s">
        <v>32</v>
      </c>
      <c r="G2" t="s">
        <v>1</v>
      </c>
      <c r="K2" t="s">
        <v>49</v>
      </c>
      <c r="L2">
        <v>0.05</v>
      </c>
      <c r="M2" t="s">
        <v>34</v>
      </c>
      <c r="N2" t="s">
        <v>35</v>
      </c>
    </row>
    <row r="3" spans="1:14" x14ac:dyDescent="0.25">
      <c r="A3" t="s">
        <v>27</v>
      </c>
      <c r="B3">
        <v>0.25</v>
      </c>
      <c r="C3">
        <v>0.01</v>
      </c>
      <c r="D3">
        <v>0.01</v>
      </c>
      <c r="E3">
        <f>B3+C3</f>
        <v>0.26</v>
      </c>
      <c r="F3">
        <f>B3-D3</f>
        <v>0.24</v>
      </c>
      <c r="G3" t="s">
        <v>2</v>
      </c>
      <c r="I3" t="e" cm="1">
        <f t="array" aca="1" ref="I3" ca="1">SocketHeadCapScrewGeometry(B3:D3)</f>
        <v>#NAME?</v>
      </c>
      <c r="M3">
        <f>-B7/2+L1</f>
        <v>-0.1875</v>
      </c>
      <c r="N3">
        <f>L2</f>
        <v>0.05</v>
      </c>
    </row>
    <row r="4" spans="1:14" x14ac:dyDescent="0.25">
      <c r="A4" t="s">
        <v>3</v>
      </c>
      <c r="B4">
        <v>20</v>
      </c>
      <c r="G4" t="s">
        <v>4</v>
      </c>
      <c r="M4">
        <f>-B3/2+L1</f>
        <v>-0.125</v>
      </c>
      <c r="N4">
        <f>N3</f>
        <v>0.05</v>
      </c>
    </row>
    <row r="5" spans="1:14" x14ac:dyDescent="0.25">
      <c r="A5" t="s">
        <v>5</v>
      </c>
      <c r="B5">
        <v>0.6</v>
      </c>
      <c r="C5">
        <v>0.01</v>
      </c>
      <c r="D5">
        <v>0.01</v>
      </c>
      <c r="E5">
        <f>B5+C5</f>
        <v>0.61</v>
      </c>
      <c r="F5">
        <f>B5-D5</f>
        <v>0.59</v>
      </c>
      <c r="G5" t="s">
        <v>2</v>
      </c>
      <c r="M5">
        <f>M4</f>
        <v>-0.125</v>
      </c>
      <c r="N5">
        <f>N4-B5</f>
        <v>-0.54999999999999993</v>
      </c>
    </row>
    <row r="6" spans="1:14" x14ac:dyDescent="0.25">
      <c r="A6" t="s">
        <v>6</v>
      </c>
      <c r="B6">
        <v>1</v>
      </c>
      <c r="C6">
        <v>0.01</v>
      </c>
      <c r="D6">
        <v>0.01</v>
      </c>
      <c r="E6">
        <f>B6+C6</f>
        <v>1.01</v>
      </c>
      <c r="F6">
        <f>B6-D6</f>
        <v>0.99</v>
      </c>
      <c r="G6" t="s">
        <v>2</v>
      </c>
      <c r="M6">
        <f>B3/2+L1</f>
        <v>0.125</v>
      </c>
      <c r="N6">
        <f>N5</f>
        <v>-0.54999999999999993</v>
      </c>
    </row>
    <row r="7" spans="1:14" x14ac:dyDescent="0.25">
      <c r="A7" t="s">
        <v>9</v>
      </c>
      <c r="B7">
        <v>0.375</v>
      </c>
      <c r="C7">
        <v>0.01</v>
      </c>
      <c r="D7">
        <v>0.01</v>
      </c>
      <c r="E7">
        <f>B7+C7</f>
        <v>0.38500000000000001</v>
      </c>
      <c r="F7">
        <f>B7-D7</f>
        <v>0.36499999999999999</v>
      </c>
      <c r="G7" t="s">
        <v>2</v>
      </c>
      <c r="M7">
        <f>M6</f>
        <v>0.125</v>
      </c>
      <c r="N7">
        <f>N4</f>
        <v>0.05</v>
      </c>
    </row>
    <row r="8" spans="1:14" x14ac:dyDescent="0.25">
      <c r="A8" t="s">
        <v>10</v>
      </c>
      <c r="B8">
        <v>0.375</v>
      </c>
      <c r="C8">
        <v>0.01</v>
      </c>
      <c r="D8">
        <v>0.01</v>
      </c>
      <c r="E8">
        <f>B8+C8</f>
        <v>0.38500000000000001</v>
      </c>
      <c r="F8">
        <f>B8-D8</f>
        <v>0.36499999999999999</v>
      </c>
      <c r="G8" t="s">
        <v>2</v>
      </c>
      <c r="M8">
        <f>B7/2+L1</f>
        <v>0.1875</v>
      </c>
      <c r="N8">
        <f>N3</f>
        <v>0.05</v>
      </c>
    </row>
    <row r="9" spans="1:14" x14ac:dyDescent="0.25">
      <c r="M9">
        <f>M8</f>
        <v>0.1875</v>
      </c>
      <c r="N9">
        <f>N8+B8</f>
        <v>0.42499999999999999</v>
      </c>
    </row>
    <row r="10" spans="1:14" x14ac:dyDescent="0.25">
      <c r="A10" t="s">
        <v>15</v>
      </c>
      <c r="B10" t="s">
        <v>12</v>
      </c>
      <c r="M10">
        <f>M3</f>
        <v>-0.1875</v>
      </c>
      <c r="N10">
        <f>N9</f>
        <v>0.42499999999999999</v>
      </c>
    </row>
    <row r="11" spans="1:14" x14ac:dyDescent="0.25">
      <c r="A11" t="s">
        <v>0</v>
      </c>
      <c r="B11" t="s">
        <v>7</v>
      </c>
      <c r="G11" t="s">
        <v>1</v>
      </c>
      <c r="M11">
        <f>M10</f>
        <v>-0.1875</v>
      </c>
      <c r="N11">
        <f>N3</f>
        <v>0.05</v>
      </c>
    </row>
    <row r="12" spans="1:14" x14ac:dyDescent="0.25">
      <c r="A12" t="s">
        <v>11</v>
      </c>
      <c r="B12" t="s">
        <v>22</v>
      </c>
      <c r="G12" t="s">
        <v>14</v>
      </c>
    </row>
    <row r="13" spans="1:14" x14ac:dyDescent="0.25">
      <c r="A13" t="s">
        <v>21</v>
      </c>
      <c r="G13" t="s">
        <v>14</v>
      </c>
    </row>
    <row r="14" spans="1:14" x14ac:dyDescent="0.25">
      <c r="A14" t="s">
        <v>13</v>
      </c>
      <c r="B14">
        <v>0.05</v>
      </c>
      <c r="C14">
        <v>0.01</v>
      </c>
      <c r="D14">
        <v>0.01</v>
      </c>
      <c r="E14">
        <f>B14+C14</f>
        <v>6.0000000000000005E-2</v>
      </c>
      <c r="F14">
        <f>B14-D14</f>
        <v>0.04</v>
      </c>
      <c r="G14" t="s">
        <v>2</v>
      </c>
    </row>
    <row r="15" spans="1:14" x14ac:dyDescent="0.25">
      <c r="A15" t="s">
        <v>16</v>
      </c>
      <c r="B15">
        <v>0.28000000000000003</v>
      </c>
      <c r="C15">
        <v>0.01</v>
      </c>
      <c r="D15">
        <v>0.01</v>
      </c>
      <c r="E15">
        <f>B15+C15</f>
        <v>0.29000000000000004</v>
      </c>
      <c r="F15">
        <f>B15-D15</f>
        <v>0.27</v>
      </c>
      <c r="G15" t="s">
        <v>2</v>
      </c>
      <c r="K15" t="s">
        <v>38</v>
      </c>
      <c r="L15">
        <v>0</v>
      </c>
      <c r="M15" t="s">
        <v>36</v>
      </c>
    </row>
    <row r="16" spans="1:14" x14ac:dyDescent="0.25">
      <c r="A16" t="s">
        <v>20</v>
      </c>
      <c r="B16">
        <v>0.625</v>
      </c>
      <c r="C16">
        <v>0.01</v>
      </c>
      <c r="D16">
        <v>0.01</v>
      </c>
      <c r="E16">
        <f>B16+C16</f>
        <v>0.63500000000000001</v>
      </c>
      <c r="F16">
        <f>B16-D16</f>
        <v>0.61499999999999999</v>
      </c>
      <c r="G16" t="s">
        <v>2</v>
      </c>
      <c r="K16" t="s">
        <v>48</v>
      </c>
      <c r="L16">
        <v>0.05</v>
      </c>
      <c r="M16" t="s">
        <v>34</v>
      </c>
      <c r="N16" t="s">
        <v>35</v>
      </c>
    </row>
    <row r="17" spans="1:14" x14ac:dyDescent="0.25">
      <c r="M17">
        <f>L15-B16/2</f>
        <v>-0.3125</v>
      </c>
      <c r="N17">
        <f>L16-B14</f>
        <v>0</v>
      </c>
    </row>
    <row r="18" spans="1:14" x14ac:dyDescent="0.25">
      <c r="A18" t="s">
        <v>17</v>
      </c>
      <c r="M18">
        <f>L15-B15/2</f>
        <v>-0.14000000000000001</v>
      </c>
      <c r="N18">
        <f>N17</f>
        <v>0</v>
      </c>
    </row>
    <row r="19" spans="1:14" x14ac:dyDescent="0.25">
      <c r="A19" t="s">
        <v>0</v>
      </c>
      <c r="B19" t="s">
        <v>7</v>
      </c>
      <c r="G19" t="s">
        <v>1</v>
      </c>
      <c r="M19">
        <f>M18</f>
        <v>-0.14000000000000001</v>
      </c>
      <c r="N19">
        <f>L16</f>
        <v>0.05</v>
      </c>
    </row>
    <row r="20" spans="1:14" x14ac:dyDescent="0.25">
      <c r="A20" t="s">
        <v>11</v>
      </c>
      <c r="B20" t="s">
        <v>18</v>
      </c>
      <c r="G20" t="s">
        <v>14</v>
      </c>
      <c r="M20">
        <f>M17</f>
        <v>-0.3125</v>
      </c>
      <c r="N20">
        <f>L16</f>
        <v>0.05</v>
      </c>
    </row>
    <row r="21" spans="1:14" x14ac:dyDescent="0.25">
      <c r="A21" t="s">
        <v>21</v>
      </c>
      <c r="B21" t="s">
        <v>23</v>
      </c>
      <c r="G21" t="s">
        <v>14</v>
      </c>
      <c r="M21">
        <f>M17</f>
        <v>-0.3125</v>
      </c>
      <c r="N21">
        <f>N17</f>
        <v>0</v>
      </c>
    </row>
    <row r="22" spans="1:14" x14ac:dyDescent="0.25">
      <c r="A22" t="s">
        <v>13</v>
      </c>
      <c r="B22">
        <v>0.25</v>
      </c>
      <c r="C22">
        <v>0.01</v>
      </c>
      <c r="D22">
        <v>0.01</v>
      </c>
      <c r="E22">
        <f>B22+C22</f>
        <v>0.26</v>
      </c>
      <c r="F22">
        <f>B22-D22</f>
        <v>0.24</v>
      </c>
      <c r="G22" t="s">
        <v>2</v>
      </c>
    </row>
    <row r="23" spans="1:14" x14ac:dyDescent="0.25">
      <c r="A23" t="s">
        <v>16</v>
      </c>
      <c r="B23">
        <v>0.4</v>
      </c>
      <c r="C23">
        <v>0.01</v>
      </c>
      <c r="D23">
        <v>0.01</v>
      </c>
      <c r="E23">
        <f>B23+C23</f>
        <v>0.41000000000000003</v>
      </c>
      <c r="F23">
        <f>B23-D23</f>
        <v>0.39</v>
      </c>
      <c r="G23" t="s">
        <v>2</v>
      </c>
      <c r="M23">
        <f>B16/2+L15</f>
        <v>0.3125</v>
      </c>
      <c r="N23">
        <f>N17</f>
        <v>0</v>
      </c>
    </row>
    <row r="24" spans="1:14" x14ac:dyDescent="0.25">
      <c r="A24" t="s">
        <v>19</v>
      </c>
      <c r="B24">
        <v>0.375</v>
      </c>
      <c r="C24">
        <v>0.01</v>
      </c>
      <c r="D24">
        <v>0.01</v>
      </c>
      <c r="E24">
        <f>B24+C24</f>
        <v>0.38500000000000001</v>
      </c>
      <c r="F24">
        <f>B24-D24</f>
        <v>0.36499999999999999</v>
      </c>
      <c r="G24" t="s">
        <v>2</v>
      </c>
      <c r="M24">
        <f>L15+B15/2</f>
        <v>0.14000000000000001</v>
      </c>
      <c r="N24">
        <f>N18</f>
        <v>0</v>
      </c>
    </row>
    <row r="25" spans="1:14" x14ac:dyDescent="0.25">
      <c r="M25">
        <f>M24</f>
        <v>0.14000000000000001</v>
      </c>
      <c r="N25">
        <f>N19</f>
        <v>0.05</v>
      </c>
    </row>
    <row r="26" spans="1:14" x14ac:dyDescent="0.25">
      <c r="A26" t="s">
        <v>29</v>
      </c>
      <c r="M26">
        <f>M23</f>
        <v>0.3125</v>
      </c>
      <c r="N26">
        <f>N20</f>
        <v>0.05</v>
      </c>
    </row>
    <row r="27" spans="1:14" x14ac:dyDescent="0.25">
      <c r="A27" t="s">
        <v>0</v>
      </c>
      <c r="B27" t="s">
        <v>7</v>
      </c>
      <c r="G27" t="s">
        <v>1</v>
      </c>
      <c r="M27">
        <f>M23</f>
        <v>0.3125</v>
      </c>
      <c r="N27">
        <f>N21</f>
        <v>0</v>
      </c>
    </row>
    <row r="28" spans="1:14" x14ac:dyDescent="0.25">
      <c r="A28" t="s">
        <v>11</v>
      </c>
      <c r="B28" t="s">
        <v>25</v>
      </c>
      <c r="G28" t="s">
        <v>14</v>
      </c>
    </row>
    <row r="29" spans="1:14" x14ac:dyDescent="0.25">
      <c r="A29" t="s">
        <v>21</v>
      </c>
      <c r="B29" t="s">
        <v>24</v>
      </c>
      <c r="G29" t="s">
        <v>14</v>
      </c>
      <c r="K29" t="s">
        <v>39</v>
      </c>
      <c r="L29">
        <v>0</v>
      </c>
      <c r="M29" t="s">
        <v>37</v>
      </c>
    </row>
    <row r="30" spans="1:14" x14ac:dyDescent="0.25">
      <c r="A30" t="s">
        <v>13</v>
      </c>
      <c r="B30">
        <v>1</v>
      </c>
      <c r="C30">
        <v>0.01</v>
      </c>
      <c r="D30">
        <v>0.01</v>
      </c>
      <c r="E30">
        <f>B30+C30</f>
        <v>1.01</v>
      </c>
      <c r="F30">
        <f>B30-D30</f>
        <v>0.99</v>
      </c>
      <c r="G30" t="s">
        <v>2</v>
      </c>
      <c r="K30" t="s">
        <v>40</v>
      </c>
      <c r="L30">
        <v>0</v>
      </c>
      <c r="M30" t="s">
        <v>34</v>
      </c>
      <c r="N30" t="s">
        <v>35</v>
      </c>
    </row>
    <row r="31" spans="1:14" x14ac:dyDescent="0.25">
      <c r="A31" t="s">
        <v>26</v>
      </c>
      <c r="B31">
        <v>0.25</v>
      </c>
      <c r="C31">
        <v>0.01</v>
      </c>
      <c r="D31">
        <v>0.01</v>
      </c>
      <c r="E31">
        <f>B31+C31</f>
        <v>0.26</v>
      </c>
      <c r="F31">
        <f>B31-D31</f>
        <v>0.24</v>
      </c>
      <c r="G31" t="s">
        <v>2</v>
      </c>
      <c r="M31">
        <f>-B24</f>
        <v>-0.375</v>
      </c>
      <c r="N31">
        <f>L30-B22</f>
        <v>-0.25</v>
      </c>
    </row>
    <row r="32" spans="1:14" x14ac:dyDescent="0.25">
      <c r="A32" t="s">
        <v>3</v>
      </c>
      <c r="B32">
        <v>20</v>
      </c>
      <c r="G32" t="s">
        <v>28</v>
      </c>
      <c r="M32">
        <f>-B23/2+L29</f>
        <v>-0.2</v>
      </c>
      <c r="N32">
        <f>N31</f>
        <v>-0.25</v>
      </c>
    </row>
    <row r="33" spans="1:16" x14ac:dyDescent="0.25">
      <c r="A33" t="s">
        <v>19</v>
      </c>
      <c r="B33">
        <v>0.375</v>
      </c>
      <c r="C33">
        <v>0.01</v>
      </c>
      <c r="D33">
        <v>0.01</v>
      </c>
      <c r="E33">
        <f>B33+C33</f>
        <v>0.38500000000000001</v>
      </c>
      <c r="F33">
        <f>B33-D33</f>
        <v>0.36499999999999999</v>
      </c>
      <c r="G33" t="s">
        <v>2</v>
      </c>
      <c r="M33">
        <f>M32</f>
        <v>-0.2</v>
      </c>
      <c r="N33">
        <f>L30</f>
        <v>0</v>
      </c>
    </row>
    <row r="34" spans="1:16" x14ac:dyDescent="0.25">
      <c r="A34" t="s">
        <v>44</v>
      </c>
      <c r="B34">
        <v>0.20100000000000001</v>
      </c>
      <c r="M34">
        <f>M31</f>
        <v>-0.375</v>
      </c>
      <c r="N34">
        <f>N33</f>
        <v>0</v>
      </c>
    </row>
    <row r="35" spans="1:16" x14ac:dyDescent="0.25">
      <c r="A35" t="s">
        <v>42</v>
      </c>
      <c r="B35">
        <v>0.5</v>
      </c>
      <c r="M35">
        <f>M31</f>
        <v>-0.375</v>
      </c>
      <c r="N35">
        <f>N31</f>
        <v>-0.25</v>
      </c>
    </row>
    <row r="36" spans="1:16" x14ac:dyDescent="0.25">
      <c r="A36" t="s">
        <v>43</v>
      </c>
      <c r="B36">
        <v>0.375</v>
      </c>
    </row>
    <row r="37" spans="1:16" x14ac:dyDescent="0.25">
      <c r="A37" t="s">
        <v>41</v>
      </c>
      <c r="B37">
        <v>118</v>
      </c>
      <c r="D37">
        <f>RADIANS(B37)</f>
        <v>2.0594885173533091</v>
      </c>
      <c r="M37">
        <f>B24</f>
        <v>0.375</v>
      </c>
      <c r="N37">
        <f>N31</f>
        <v>-0.25</v>
      </c>
    </row>
    <row r="38" spans="1:16" x14ac:dyDescent="0.25">
      <c r="M38">
        <f>B23/2+L29</f>
        <v>0.2</v>
      </c>
      <c r="N38">
        <f>N32</f>
        <v>-0.25</v>
      </c>
    </row>
    <row r="39" spans="1:16" x14ac:dyDescent="0.25">
      <c r="M39">
        <f>M38</f>
        <v>0.2</v>
      </c>
      <c r="N39">
        <f>N33</f>
        <v>0</v>
      </c>
    </row>
    <row r="40" spans="1:16" x14ac:dyDescent="0.25">
      <c r="M40">
        <f>M37</f>
        <v>0.375</v>
      </c>
      <c r="N40">
        <f>N34</f>
        <v>0</v>
      </c>
    </row>
    <row r="41" spans="1:16" x14ac:dyDescent="0.25">
      <c r="M41">
        <f>M37</f>
        <v>0.375</v>
      </c>
      <c r="N41">
        <f>N35</f>
        <v>-0.25</v>
      </c>
    </row>
    <row r="43" spans="1:16" x14ac:dyDescent="0.25">
      <c r="K43" t="s">
        <v>39</v>
      </c>
      <c r="L43">
        <v>0</v>
      </c>
      <c r="M43" t="s">
        <v>24</v>
      </c>
      <c r="O43" t="s">
        <v>46</v>
      </c>
    </row>
    <row r="44" spans="1:16" x14ac:dyDescent="0.25">
      <c r="K44" t="s">
        <v>40</v>
      </c>
      <c r="L44">
        <f>N35</f>
        <v>-0.25</v>
      </c>
      <c r="M44" t="s">
        <v>34</v>
      </c>
      <c r="N44" t="s">
        <v>35</v>
      </c>
      <c r="O44" t="s">
        <v>34</v>
      </c>
      <c r="P44" t="s">
        <v>35</v>
      </c>
    </row>
    <row r="45" spans="1:16" x14ac:dyDescent="0.25">
      <c r="K45" t="s">
        <v>45</v>
      </c>
      <c r="L45">
        <f>B34/2/TAN(D37/2)</f>
        <v>6.0386492212269813E-2</v>
      </c>
      <c r="M45">
        <f>-B33</f>
        <v>-0.375</v>
      </c>
      <c r="N45">
        <f>L44-B30</f>
        <v>-1.25</v>
      </c>
      <c r="O45">
        <f>-B31/2+L43</f>
        <v>-0.125</v>
      </c>
      <c r="P45">
        <f>L44-B36</f>
        <v>-0.625</v>
      </c>
    </row>
    <row r="46" spans="1:16" x14ac:dyDescent="0.25">
      <c r="M46">
        <f>B33</f>
        <v>0.375</v>
      </c>
      <c r="N46">
        <f>N45</f>
        <v>-1.25</v>
      </c>
      <c r="O46">
        <f>M51</f>
        <v>-0.10050000000000001</v>
      </c>
      <c r="P46">
        <f>P45</f>
        <v>-0.625</v>
      </c>
    </row>
    <row r="47" spans="1:16" x14ac:dyDescent="0.25">
      <c r="M47">
        <f>M46</f>
        <v>0.375</v>
      </c>
      <c r="N47">
        <f>L44</f>
        <v>-0.25</v>
      </c>
      <c r="O47">
        <f>O46</f>
        <v>-0.10050000000000001</v>
      </c>
      <c r="P47">
        <f>L44</f>
        <v>-0.25</v>
      </c>
    </row>
    <row r="48" spans="1:16" x14ac:dyDescent="0.25">
      <c r="M48">
        <f>B34/2+L43</f>
        <v>0.10050000000000001</v>
      </c>
      <c r="N48">
        <f>N47</f>
        <v>-0.25</v>
      </c>
      <c r="O48">
        <f>O45</f>
        <v>-0.125</v>
      </c>
      <c r="P48">
        <f>P47</f>
        <v>-0.25</v>
      </c>
    </row>
    <row r="49" spans="13:16" x14ac:dyDescent="0.25">
      <c r="M49">
        <f>M48</f>
        <v>0.10050000000000001</v>
      </c>
      <c r="N49">
        <f>N48-B35</f>
        <v>-0.75</v>
      </c>
      <c r="O49">
        <f>O45</f>
        <v>-0.125</v>
      </c>
      <c r="P49">
        <f>P45</f>
        <v>-0.625</v>
      </c>
    </row>
    <row r="50" spans="13:16" x14ac:dyDescent="0.25">
      <c r="M50">
        <f>L43</f>
        <v>0</v>
      </c>
      <c r="N50">
        <f>N49-L45</f>
        <v>-0.81038649221226977</v>
      </c>
    </row>
    <row r="51" spans="13:16" x14ac:dyDescent="0.25">
      <c r="M51">
        <f>-B34/2+L43</f>
        <v>-0.10050000000000001</v>
      </c>
      <c r="N51">
        <f>N49</f>
        <v>-0.75</v>
      </c>
      <c r="O51">
        <f>M48</f>
        <v>0.10050000000000001</v>
      </c>
      <c r="P51">
        <f>P45</f>
        <v>-0.625</v>
      </c>
    </row>
    <row r="52" spans="13:16" x14ac:dyDescent="0.25">
      <c r="M52">
        <f>M51</f>
        <v>-0.10050000000000001</v>
      </c>
      <c r="N52">
        <f>N48</f>
        <v>-0.25</v>
      </c>
      <c r="O52">
        <f>B31/2+L43</f>
        <v>0.125</v>
      </c>
      <c r="P52">
        <f>P51</f>
        <v>-0.625</v>
      </c>
    </row>
    <row r="53" spans="13:16" x14ac:dyDescent="0.25">
      <c r="M53">
        <f>M45</f>
        <v>-0.375</v>
      </c>
      <c r="N53">
        <f>N47</f>
        <v>-0.25</v>
      </c>
      <c r="O53">
        <f>O52</f>
        <v>0.125</v>
      </c>
      <c r="P53">
        <f>L44</f>
        <v>-0.25</v>
      </c>
    </row>
    <row r="54" spans="13:16" x14ac:dyDescent="0.25">
      <c r="M54">
        <f>M45</f>
        <v>-0.375</v>
      </c>
      <c r="N54">
        <f>N45</f>
        <v>-1.25</v>
      </c>
      <c r="O54">
        <f>O51</f>
        <v>0.10050000000000001</v>
      </c>
      <c r="P54">
        <f>P53</f>
        <v>-0.25</v>
      </c>
    </row>
    <row r="55" spans="13:16" x14ac:dyDescent="0.25">
      <c r="O55">
        <f>O51</f>
        <v>0.10050000000000001</v>
      </c>
      <c r="P55">
        <f>P51</f>
        <v>-0.625</v>
      </c>
    </row>
  </sheetData>
  <pageMargins left="0.7" right="0.7" top="0.75" bottom="0.75" header="0.3" footer="0.3"/>
  <pageSetup paperSize="14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D134C-D83B-4D00-B126-930706A5CF98}">
  <sheetPr codeName="Sheet3"/>
  <dimension ref="A1:H119"/>
  <sheetViews>
    <sheetView tabSelected="1" topLeftCell="A73" zoomScale="85" zoomScaleNormal="85" workbookViewId="0">
      <selection activeCell="J89" sqref="J89"/>
    </sheetView>
  </sheetViews>
  <sheetFormatPr defaultRowHeight="15" x14ac:dyDescent="0.25"/>
  <cols>
    <col min="1" max="1" width="47.5703125" bestFit="1" customWidth="1"/>
    <col min="2" max="2" width="29.28515625" bestFit="1" customWidth="1"/>
    <col min="3" max="3" width="38.28515625" bestFit="1" customWidth="1"/>
    <col min="4" max="4" width="27.28515625" bestFit="1" customWidth="1"/>
    <col min="5" max="5" width="27" bestFit="1" customWidth="1"/>
    <col min="6" max="6" width="35.140625" bestFit="1" customWidth="1"/>
    <col min="7" max="7" width="26.5703125" bestFit="1" customWidth="1"/>
    <col min="8" max="8" width="26.28515625" bestFit="1" customWidth="1"/>
    <col min="9" max="9" width="31.7109375" bestFit="1" customWidth="1"/>
    <col min="10" max="10" width="41.7109375" bestFit="1" customWidth="1"/>
  </cols>
  <sheetData>
    <row r="1" spans="1:4" x14ac:dyDescent="0.25">
      <c r="A1" t="s">
        <v>175</v>
      </c>
      <c r="B1" t="s">
        <v>176</v>
      </c>
    </row>
    <row r="2" spans="1:4" x14ac:dyDescent="0.25">
      <c r="A2" t="s">
        <v>180</v>
      </c>
    </row>
    <row r="3" spans="1:4" x14ac:dyDescent="0.25">
      <c r="A3" t="s">
        <v>179</v>
      </c>
      <c r="B3" t="s">
        <v>181</v>
      </c>
    </row>
    <row r="4" spans="1:4" x14ac:dyDescent="0.25">
      <c r="A4" t="s">
        <v>9</v>
      </c>
    </row>
    <row r="5" spans="1:4" x14ac:dyDescent="0.25">
      <c r="A5" t="s">
        <v>10</v>
      </c>
    </row>
    <row r="6" spans="1:4" x14ac:dyDescent="0.25">
      <c r="A6" t="s">
        <v>177</v>
      </c>
    </row>
    <row r="7" spans="1:4" x14ac:dyDescent="0.25">
      <c r="A7" t="s">
        <v>178</v>
      </c>
    </row>
    <row r="8" spans="1:4" x14ac:dyDescent="0.25">
      <c r="A8" t="s">
        <v>46</v>
      </c>
    </row>
    <row r="11" spans="1:4" x14ac:dyDescent="0.25">
      <c r="A11" t="s">
        <v>182</v>
      </c>
    </row>
    <row r="12" spans="1:4" x14ac:dyDescent="0.25">
      <c r="A12" t="s">
        <v>191</v>
      </c>
      <c r="B12" t="s">
        <v>211</v>
      </c>
    </row>
    <row r="13" spans="1:4" x14ac:dyDescent="0.25">
      <c r="A13" t="s">
        <v>85</v>
      </c>
      <c r="B13" cm="1">
        <f t="array" ref="B13">ThreadDimensions($B$12,A13)</f>
        <v>0</v>
      </c>
    </row>
    <row r="14" spans="1:4" x14ac:dyDescent="0.25">
      <c r="A14" s="5" t="s">
        <v>198</v>
      </c>
      <c r="B14" s="5"/>
      <c r="C14" s="5" t="s">
        <v>199</v>
      </c>
      <c r="D14" s="5"/>
    </row>
    <row r="15" spans="1:4" x14ac:dyDescent="0.25">
      <c r="A15" t="s">
        <v>189</v>
      </c>
      <c r="B15" t="str" cm="1">
        <f t="array" ref="B15">ThreadDimensions($B$12,A15)</f>
        <v>3A</v>
      </c>
      <c r="C15" t="s">
        <v>92</v>
      </c>
      <c r="D15" t="str" cm="1">
        <f t="array" ref="D15">ThreadDimensions($B$12,C15)</f>
        <v>3B</v>
      </c>
    </row>
    <row r="16" spans="1:4" x14ac:dyDescent="0.25">
      <c r="A16" t="s">
        <v>183</v>
      </c>
      <c r="B16" cm="1">
        <f t="array" ref="B16">ThreadDimensions($B$12,A16)</f>
        <v>0.25</v>
      </c>
      <c r="C16" t="s">
        <v>192</v>
      </c>
      <c r="D16" cm="1">
        <f t="array" ref="D16">ThreadDimensions($B$12,C16)</f>
        <v>0.25</v>
      </c>
    </row>
    <row r="17" spans="1:7" x14ac:dyDescent="0.25">
      <c r="A17" t="s">
        <v>184</v>
      </c>
      <c r="B17" cm="1">
        <f t="array" ref="B17">ThreadDimensions($B$12,A17)</f>
        <v>0.24349999999999999</v>
      </c>
      <c r="C17" t="s">
        <v>193</v>
      </c>
      <c r="D17" cm="1">
        <f t="array" ref="D17">ThreadDimensions($B$12,C17)</f>
        <v>0.219</v>
      </c>
    </row>
    <row r="18" spans="1:7" x14ac:dyDescent="0.25">
      <c r="A18" t="s">
        <v>185</v>
      </c>
      <c r="B18" cm="1">
        <f t="array" ref="B18">ThreadDimensions($B$12,A18)</f>
        <v>0</v>
      </c>
      <c r="C18" t="s">
        <v>194</v>
      </c>
      <c r="D18" cm="1">
        <f t="array" ref="D18">ThreadDimensions($B$12,C18)</f>
        <v>0.21099999999999999</v>
      </c>
    </row>
    <row r="19" spans="1:7" x14ac:dyDescent="0.25">
      <c r="A19" t="s">
        <v>186</v>
      </c>
      <c r="B19" cm="1">
        <f t="array" ref="B19">ThreadDimensions($B$12,A19)</f>
        <v>0.2268</v>
      </c>
      <c r="C19" t="s">
        <v>195</v>
      </c>
      <c r="D19" cm="1">
        <f t="array" ref="D19">ThreadDimensions($B$12,C19)</f>
        <v>0.23</v>
      </c>
    </row>
    <row r="20" spans="1:7" x14ac:dyDescent="0.25">
      <c r="A20" t="s">
        <v>187</v>
      </c>
      <c r="B20" cm="1">
        <f t="array" ref="B20">ThreadDimensions($B$12,A20)</f>
        <v>0.2243</v>
      </c>
      <c r="C20" t="s">
        <v>196</v>
      </c>
      <c r="D20" cm="1">
        <f t="array" ref="D20">ThreadDimensions($B$12,C20)</f>
        <v>0.2268</v>
      </c>
    </row>
    <row r="21" spans="1:7" x14ac:dyDescent="0.25">
      <c r="A21" t="s">
        <v>188</v>
      </c>
      <c r="B21" cm="1">
        <f t="array" ref="B21">ThreadDimensions($B$12,A21)</f>
        <v>2.5000000000000001E-3</v>
      </c>
      <c r="C21" t="s">
        <v>197</v>
      </c>
      <c r="D21" cm="1">
        <f t="array" ref="D21">ThreadDimensions($B$12,C21)</f>
        <v>3.2000000000000002E-3</v>
      </c>
    </row>
    <row r="22" spans="1:7" x14ac:dyDescent="0.25">
      <c r="A22" t="s">
        <v>190</v>
      </c>
      <c r="B22" cm="1">
        <f t="array" ref="B22">ThreadDimensions($B$12,A22)</f>
        <v>0.20749999999999999</v>
      </c>
    </row>
    <row r="23" spans="1:7" x14ac:dyDescent="0.25">
      <c r="A23" t="s">
        <v>218</v>
      </c>
      <c r="B23" cm="1">
        <f t="array" ref="B23">ThreadDimensions($B$12,A23)</f>
        <v>0.21010000000000001</v>
      </c>
    </row>
    <row r="24" spans="1:7" x14ac:dyDescent="0.25">
      <c r="A24" t="s">
        <v>219</v>
      </c>
      <c r="B24" cm="1">
        <f t="array" ref="B24">ThreadDimensions($B$12,A24)</f>
        <v>0.1986</v>
      </c>
    </row>
    <row r="26" spans="1:7" x14ac:dyDescent="0.25">
      <c r="A26" t="s">
        <v>200</v>
      </c>
      <c r="B26" t="s">
        <v>211</v>
      </c>
      <c r="C26">
        <v>1</v>
      </c>
      <c r="D26">
        <f>C26+2</f>
        <v>3</v>
      </c>
      <c r="G26">
        <f>F26+2</f>
        <v>2</v>
      </c>
    </row>
    <row r="27" spans="1:7" x14ac:dyDescent="0.25">
      <c r="A27" t="s">
        <v>201</v>
      </c>
      <c r="B27">
        <v>0.25</v>
      </c>
      <c r="C27">
        <v>2</v>
      </c>
      <c r="D27">
        <f t="shared" ref="D27:D38" si="0">C27+2</f>
        <v>4</v>
      </c>
      <c r="G27">
        <f t="shared" ref="G27:G38" si="1">F27+2</f>
        <v>2</v>
      </c>
    </row>
    <row r="28" spans="1:7" x14ac:dyDescent="0.25">
      <c r="A28" t="s">
        <v>202</v>
      </c>
      <c r="B28">
        <v>0.24349999999999999</v>
      </c>
      <c r="C28">
        <v>3</v>
      </c>
      <c r="D28">
        <f t="shared" si="0"/>
        <v>5</v>
      </c>
      <c r="G28">
        <f t="shared" si="1"/>
        <v>2</v>
      </c>
    </row>
    <row r="29" spans="1:7" x14ac:dyDescent="0.25">
      <c r="A29" t="s">
        <v>203</v>
      </c>
      <c r="B29">
        <v>0.375</v>
      </c>
      <c r="C29">
        <v>4</v>
      </c>
      <c r="D29">
        <f t="shared" si="0"/>
        <v>6</v>
      </c>
      <c r="G29">
        <f t="shared" si="1"/>
        <v>2</v>
      </c>
    </row>
    <row r="30" spans="1:7" x14ac:dyDescent="0.25">
      <c r="A30" t="s">
        <v>204</v>
      </c>
      <c r="B30">
        <v>0.36499999999999999</v>
      </c>
      <c r="C30">
        <v>5</v>
      </c>
      <c r="D30">
        <f t="shared" si="0"/>
        <v>7</v>
      </c>
      <c r="G30">
        <f t="shared" si="1"/>
        <v>2</v>
      </c>
    </row>
    <row r="31" spans="1:7" x14ac:dyDescent="0.25">
      <c r="A31" t="s">
        <v>205</v>
      </c>
      <c r="B31">
        <v>0.25</v>
      </c>
      <c r="C31">
        <v>6</v>
      </c>
      <c r="D31">
        <f t="shared" si="0"/>
        <v>8</v>
      </c>
      <c r="G31">
        <f t="shared" si="1"/>
        <v>2</v>
      </c>
    </row>
    <row r="32" spans="1:7" x14ac:dyDescent="0.25">
      <c r="A32" t="s">
        <v>206</v>
      </c>
      <c r="B32">
        <v>0.24399999999999999</v>
      </c>
      <c r="C32">
        <v>7</v>
      </c>
      <c r="D32">
        <f t="shared" si="0"/>
        <v>9</v>
      </c>
      <c r="G32">
        <f t="shared" si="1"/>
        <v>2</v>
      </c>
    </row>
    <row r="33" spans="1:8" x14ac:dyDescent="0.25">
      <c r="A33" t="s">
        <v>207</v>
      </c>
      <c r="B33">
        <f>1/28</f>
        <v>3.5714285714285712E-2</v>
      </c>
      <c r="C33">
        <v>8</v>
      </c>
      <c r="D33">
        <f t="shared" si="0"/>
        <v>10</v>
      </c>
      <c r="G33">
        <f t="shared" si="1"/>
        <v>2</v>
      </c>
    </row>
    <row r="34" spans="1:8" x14ac:dyDescent="0.25">
      <c r="A34" t="s">
        <v>208</v>
      </c>
      <c r="B34">
        <v>1</v>
      </c>
      <c r="C34">
        <v>9</v>
      </c>
      <c r="D34">
        <f t="shared" si="0"/>
        <v>11</v>
      </c>
      <c r="G34">
        <f t="shared" si="1"/>
        <v>2</v>
      </c>
    </row>
    <row r="35" spans="1:8" x14ac:dyDescent="0.25">
      <c r="A35" t="s">
        <v>209</v>
      </c>
      <c r="B35">
        <f>B36-0.03</f>
        <v>0.34499999999999997</v>
      </c>
      <c r="C35">
        <v>10</v>
      </c>
      <c r="D35">
        <f t="shared" si="0"/>
        <v>12</v>
      </c>
      <c r="G35">
        <f t="shared" si="1"/>
        <v>2</v>
      </c>
    </row>
    <row r="36" spans="1:8" x14ac:dyDescent="0.25">
      <c r="A36" t="s">
        <v>210</v>
      </c>
      <c r="B36">
        <v>0.375</v>
      </c>
      <c r="C36">
        <v>11</v>
      </c>
      <c r="D36">
        <f t="shared" si="0"/>
        <v>13</v>
      </c>
      <c r="G36">
        <f t="shared" si="1"/>
        <v>2</v>
      </c>
    </row>
    <row r="37" spans="1:8" x14ac:dyDescent="0.25">
      <c r="C37">
        <v>12</v>
      </c>
      <c r="D37">
        <f t="shared" si="0"/>
        <v>14</v>
      </c>
      <c r="G37">
        <f t="shared" si="1"/>
        <v>2</v>
      </c>
    </row>
    <row r="38" spans="1:8" x14ac:dyDescent="0.25">
      <c r="B38" s="4" t="e" cm="1">
        <f t="array" aca="1" ref="B38" ca="1">BoltInputReader(B26:B36)</f>
        <v>#NAME?</v>
      </c>
      <c r="C38">
        <v>13</v>
      </c>
      <c r="D38">
        <f t="shared" si="0"/>
        <v>15</v>
      </c>
      <c r="G38">
        <f t="shared" si="1"/>
        <v>2</v>
      </c>
    </row>
    <row r="41" spans="1:8" x14ac:dyDescent="0.25">
      <c r="A41" t="s">
        <v>212</v>
      </c>
    </row>
    <row r="42" spans="1:8" x14ac:dyDescent="0.25">
      <c r="A42" t="s">
        <v>213</v>
      </c>
      <c r="B42" t="s">
        <v>214</v>
      </c>
    </row>
    <row r="43" spans="1:8" x14ac:dyDescent="0.25">
      <c r="A43" t="s">
        <v>216</v>
      </c>
      <c r="D43" t="s">
        <v>215</v>
      </c>
      <c r="G43" t="s">
        <v>217</v>
      </c>
    </row>
    <row r="44" spans="1:8" x14ac:dyDescent="0.25">
      <c r="A44">
        <v>1</v>
      </c>
      <c r="B44">
        <f>A44^2</f>
        <v>1</v>
      </c>
      <c r="D44">
        <f t="shared" ref="D44:D56" si="2">B44+2</f>
        <v>3</v>
      </c>
      <c r="E44">
        <f>D44+2</f>
        <v>5</v>
      </c>
      <c r="G44">
        <f t="shared" ref="G44:G56" si="3">E44+2</f>
        <v>7</v>
      </c>
      <c r="H44">
        <f>G44+2</f>
        <v>9</v>
      </c>
    </row>
    <row r="45" spans="1:8" x14ac:dyDescent="0.25">
      <c r="A45">
        <v>2</v>
      </c>
      <c r="B45">
        <f t="shared" ref="B45:B56" si="4">A45^2</f>
        <v>4</v>
      </c>
      <c r="D45">
        <f t="shared" si="2"/>
        <v>6</v>
      </c>
      <c r="E45">
        <f t="shared" ref="E45:E56" si="5">D45+2</f>
        <v>8</v>
      </c>
      <c r="G45">
        <f t="shared" si="3"/>
        <v>10</v>
      </c>
      <c r="H45">
        <f t="shared" ref="H45:H56" si="6">G45+2</f>
        <v>12</v>
      </c>
    </row>
    <row r="46" spans="1:8" x14ac:dyDescent="0.25">
      <c r="A46">
        <v>3</v>
      </c>
      <c r="B46">
        <f>A46^2</f>
        <v>9</v>
      </c>
      <c r="D46">
        <f t="shared" si="2"/>
        <v>11</v>
      </c>
      <c r="E46">
        <f t="shared" si="5"/>
        <v>13</v>
      </c>
      <c r="G46">
        <f t="shared" si="3"/>
        <v>15</v>
      </c>
      <c r="H46">
        <f t="shared" si="6"/>
        <v>17</v>
      </c>
    </row>
    <row r="47" spans="1:8" x14ac:dyDescent="0.25">
      <c r="A47">
        <v>4</v>
      </c>
      <c r="B47">
        <f t="shared" si="4"/>
        <v>16</v>
      </c>
      <c r="D47">
        <f t="shared" si="2"/>
        <v>18</v>
      </c>
      <c r="E47">
        <f t="shared" si="5"/>
        <v>20</v>
      </c>
      <c r="G47">
        <f t="shared" si="3"/>
        <v>22</v>
      </c>
      <c r="H47">
        <f t="shared" si="6"/>
        <v>24</v>
      </c>
    </row>
    <row r="48" spans="1:8" x14ac:dyDescent="0.25">
      <c r="A48">
        <v>5</v>
      </c>
      <c r="B48">
        <f t="shared" si="4"/>
        <v>25</v>
      </c>
      <c r="D48">
        <f t="shared" si="2"/>
        <v>27</v>
      </c>
      <c r="E48">
        <f t="shared" si="5"/>
        <v>29</v>
      </c>
      <c r="G48">
        <f t="shared" si="3"/>
        <v>31</v>
      </c>
      <c r="H48">
        <f t="shared" si="6"/>
        <v>33</v>
      </c>
    </row>
    <row r="49" spans="1:8" x14ac:dyDescent="0.25">
      <c r="A49">
        <v>6</v>
      </c>
      <c r="B49">
        <f t="shared" si="4"/>
        <v>36</v>
      </c>
      <c r="D49">
        <f t="shared" si="2"/>
        <v>38</v>
      </c>
      <c r="E49">
        <f t="shared" si="5"/>
        <v>40</v>
      </c>
      <c r="G49">
        <f t="shared" si="3"/>
        <v>42</v>
      </c>
      <c r="H49">
        <f>G49+2</f>
        <v>44</v>
      </c>
    </row>
    <row r="50" spans="1:8" x14ac:dyDescent="0.25">
      <c r="A50">
        <v>7</v>
      </c>
      <c r="B50">
        <f t="shared" si="4"/>
        <v>49</v>
      </c>
      <c r="D50">
        <f t="shared" si="2"/>
        <v>51</v>
      </c>
      <c r="E50">
        <f t="shared" si="5"/>
        <v>53</v>
      </c>
      <c r="G50">
        <f t="shared" si="3"/>
        <v>55</v>
      </c>
      <c r="H50">
        <f t="shared" si="6"/>
        <v>57</v>
      </c>
    </row>
    <row r="51" spans="1:8" x14ac:dyDescent="0.25">
      <c r="A51">
        <v>8</v>
      </c>
      <c r="B51">
        <f t="shared" si="4"/>
        <v>64</v>
      </c>
      <c r="D51">
        <f t="shared" si="2"/>
        <v>66</v>
      </c>
      <c r="E51">
        <f t="shared" si="5"/>
        <v>68</v>
      </c>
      <c r="G51">
        <f t="shared" si="3"/>
        <v>70</v>
      </c>
      <c r="H51">
        <f t="shared" si="6"/>
        <v>72</v>
      </c>
    </row>
    <row r="52" spans="1:8" x14ac:dyDescent="0.25">
      <c r="A52">
        <v>9</v>
      </c>
      <c r="B52">
        <f t="shared" si="4"/>
        <v>81</v>
      </c>
      <c r="D52">
        <f t="shared" si="2"/>
        <v>83</v>
      </c>
      <c r="E52">
        <f t="shared" si="5"/>
        <v>85</v>
      </c>
      <c r="G52">
        <f t="shared" si="3"/>
        <v>87</v>
      </c>
      <c r="H52">
        <f t="shared" si="6"/>
        <v>89</v>
      </c>
    </row>
    <row r="53" spans="1:8" x14ac:dyDescent="0.25">
      <c r="A53">
        <v>10</v>
      </c>
      <c r="B53">
        <f t="shared" si="4"/>
        <v>100</v>
      </c>
      <c r="D53">
        <f t="shared" si="2"/>
        <v>102</v>
      </c>
      <c r="E53">
        <f t="shared" si="5"/>
        <v>104</v>
      </c>
      <c r="G53">
        <f t="shared" si="3"/>
        <v>106</v>
      </c>
      <c r="H53">
        <f t="shared" si="6"/>
        <v>108</v>
      </c>
    </row>
    <row r="54" spans="1:8" x14ac:dyDescent="0.25">
      <c r="A54">
        <v>11</v>
      </c>
      <c r="B54">
        <f t="shared" si="4"/>
        <v>121</v>
      </c>
      <c r="D54">
        <f t="shared" si="2"/>
        <v>123</v>
      </c>
      <c r="E54">
        <f t="shared" si="5"/>
        <v>125</v>
      </c>
      <c r="G54">
        <f t="shared" si="3"/>
        <v>127</v>
      </c>
      <c r="H54">
        <f t="shared" si="6"/>
        <v>129</v>
      </c>
    </row>
    <row r="55" spans="1:8" x14ac:dyDescent="0.25">
      <c r="A55">
        <v>12</v>
      </c>
      <c r="B55">
        <f t="shared" si="4"/>
        <v>144</v>
      </c>
      <c r="D55">
        <f t="shared" si="2"/>
        <v>146</v>
      </c>
      <c r="E55">
        <f t="shared" si="5"/>
        <v>148</v>
      </c>
      <c r="G55">
        <f t="shared" si="3"/>
        <v>150</v>
      </c>
      <c r="H55">
        <f t="shared" si="6"/>
        <v>152</v>
      </c>
    </row>
    <row r="56" spans="1:8" x14ac:dyDescent="0.25">
      <c r="A56">
        <v>13</v>
      </c>
      <c r="B56">
        <f t="shared" si="4"/>
        <v>169</v>
      </c>
      <c r="D56">
        <f t="shared" si="2"/>
        <v>171</v>
      </c>
      <c r="E56">
        <f t="shared" si="5"/>
        <v>173</v>
      </c>
      <c r="G56">
        <f t="shared" si="3"/>
        <v>175</v>
      </c>
      <c r="H56">
        <f t="shared" si="6"/>
        <v>177</v>
      </c>
    </row>
    <row r="63" spans="1:8" x14ac:dyDescent="0.25">
      <c r="A63" t="s">
        <v>220</v>
      </c>
    </row>
    <row r="64" spans="1:8" x14ac:dyDescent="0.25">
      <c r="A64" t="s">
        <v>223</v>
      </c>
      <c r="B64" t="s">
        <v>222</v>
      </c>
    </row>
    <row r="65" spans="1:2" x14ac:dyDescent="0.25">
      <c r="A65" t="s">
        <v>221</v>
      </c>
      <c r="B65" t="str" cm="1">
        <f t="array" ref="B65">PlotDataRange(A63,A67,A68:A82,B68:B82)</f>
        <v>True</v>
      </c>
    </row>
    <row r="67" spans="1:2" x14ac:dyDescent="0.25">
      <c r="A67" t="s">
        <v>50</v>
      </c>
    </row>
    <row r="68" spans="1:2" x14ac:dyDescent="0.25">
      <c r="A68" t="e" cm="1">
        <f t="array" aca="1" ref="A68" ca="1">BoltGeometryArray(B26:B36,B64)</f>
        <v>#NAME?</v>
      </c>
    </row>
    <row r="87" spans="1:2" x14ac:dyDescent="0.25">
      <c r="A87" t="s">
        <v>224</v>
      </c>
    </row>
    <row r="88" spans="1:2" x14ac:dyDescent="0.25">
      <c r="A88" t="s">
        <v>213</v>
      </c>
      <c r="B88" t="s">
        <v>225</v>
      </c>
    </row>
    <row r="89" spans="1:2" x14ac:dyDescent="0.25">
      <c r="A89" t="s">
        <v>233</v>
      </c>
      <c r="B89" t="s">
        <v>234</v>
      </c>
    </row>
    <row r="90" spans="1:2" x14ac:dyDescent="0.25">
      <c r="A90" t="s">
        <v>226</v>
      </c>
      <c r="B90" t="s">
        <v>222</v>
      </c>
    </row>
    <row r="91" spans="1:2" x14ac:dyDescent="0.25">
      <c r="A91" t="s">
        <v>221</v>
      </c>
      <c r="B91" t="b" cm="1">
        <f t="array" ref="B91">GraphicalBoltedJoint(B88,B89,B26:B36,B90,B114,B113,B117:C119,B115)</f>
        <v>1</v>
      </c>
    </row>
    <row r="103" spans="1:3" x14ac:dyDescent="0.25">
      <c r="A103" t="s">
        <v>232</v>
      </c>
    </row>
    <row r="104" spans="1:3" x14ac:dyDescent="0.25">
      <c r="A104" t="s">
        <v>229</v>
      </c>
      <c r="B104" t="s">
        <v>12</v>
      </c>
    </row>
    <row r="105" spans="1:3" x14ac:dyDescent="0.25">
      <c r="A105" t="s">
        <v>11</v>
      </c>
      <c r="B105" t="s">
        <v>230</v>
      </c>
    </row>
    <row r="106" spans="1:3" x14ac:dyDescent="0.25">
      <c r="A106" t="s">
        <v>227</v>
      </c>
      <c r="B106" t="s">
        <v>181</v>
      </c>
      <c r="C106" t="s">
        <v>228</v>
      </c>
    </row>
    <row r="107" spans="1:3" x14ac:dyDescent="0.25">
      <c r="A107" t="s">
        <v>13</v>
      </c>
      <c r="B107">
        <v>6.0000000000000005E-2</v>
      </c>
      <c r="C107">
        <v>0.04</v>
      </c>
    </row>
    <row r="108" spans="1:3" x14ac:dyDescent="0.25">
      <c r="A108" t="s">
        <v>16</v>
      </c>
      <c r="B108">
        <v>0.29000000000000004</v>
      </c>
      <c r="C108">
        <v>0.27</v>
      </c>
    </row>
    <row r="109" spans="1:3" x14ac:dyDescent="0.25">
      <c r="A109" t="s">
        <v>20</v>
      </c>
      <c r="B109">
        <v>0.63500000000000001</v>
      </c>
      <c r="C109">
        <v>0.61499999999999999</v>
      </c>
    </row>
    <row r="111" spans="1:3" x14ac:dyDescent="0.25">
      <c r="A111" t="s">
        <v>231</v>
      </c>
      <c r="B111" t="b" cm="1">
        <f t="array" ref="B111">WasherTest(B105,B104,B107:C109)</f>
        <v>1</v>
      </c>
    </row>
    <row r="113" spans="1:3" x14ac:dyDescent="0.25">
      <c r="A113" t="s">
        <v>229</v>
      </c>
      <c r="B113" t="s">
        <v>235</v>
      </c>
    </row>
    <row r="114" spans="1:3" x14ac:dyDescent="0.25">
      <c r="A114" t="s">
        <v>11</v>
      </c>
      <c r="B114" t="s">
        <v>236</v>
      </c>
    </row>
    <row r="115" spans="1:3" x14ac:dyDescent="0.25">
      <c r="A115" t="s">
        <v>237</v>
      </c>
      <c r="B115" t="s">
        <v>238</v>
      </c>
    </row>
    <row r="116" spans="1:3" x14ac:dyDescent="0.25">
      <c r="A116" t="s">
        <v>227</v>
      </c>
      <c r="B116" t="s">
        <v>181</v>
      </c>
      <c r="C116" t="s">
        <v>228</v>
      </c>
    </row>
    <row r="117" spans="1:3" x14ac:dyDescent="0.25">
      <c r="A117" t="s">
        <v>13</v>
      </c>
      <c r="B117">
        <v>0.125</v>
      </c>
      <c r="C117">
        <v>0.1</v>
      </c>
    </row>
    <row r="118" spans="1:3" x14ac:dyDescent="0.25">
      <c r="A118" t="s">
        <v>16</v>
      </c>
      <c r="B118">
        <v>0.29000000000000004</v>
      </c>
      <c r="C118">
        <v>0.27</v>
      </c>
    </row>
    <row r="119" spans="1:3" x14ac:dyDescent="0.25">
      <c r="A119" t="s">
        <v>19</v>
      </c>
      <c r="B119">
        <v>0.25</v>
      </c>
      <c r="C119">
        <v>0.25</v>
      </c>
    </row>
  </sheetData>
  <dataConsolidate/>
  <mergeCells count="2">
    <mergeCell ref="A14:B14"/>
    <mergeCell ref="C14:D14"/>
  </mergeCells>
  <pageMargins left="0.7" right="0.7" top="0.75" bottom="0.75" header="0.3" footer="0.3"/>
  <pageSetup paperSize="145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E9D3C77-51E8-4350-B14C-1F8F77285348}">
          <x14:formula1>
            <xm:f>'ASME B1.1-2003 Dimensions'!$A$2:$A$109</xm:f>
          </x14:formula1>
          <xm:sqref>B12 B26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00005-A1F9-408F-BD25-FA410A53B400}">
  <sheetPr codeName="Sheet2"/>
  <dimension ref="A1:U109"/>
  <sheetViews>
    <sheetView topLeftCell="D1" workbookViewId="0">
      <selection activeCell="K14" sqref="K14"/>
    </sheetView>
  </sheetViews>
  <sheetFormatPr defaultRowHeight="15" x14ac:dyDescent="0.25"/>
  <cols>
    <col min="1" max="1" width="31.42578125" bestFit="1" customWidth="1"/>
    <col min="2" max="2" width="24.85546875" bestFit="1" customWidth="1"/>
    <col min="3" max="3" width="10.42578125" bestFit="1" customWidth="1"/>
    <col min="4" max="4" width="14.85546875" bestFit="1" customWidth="1"/>
    <col min="5" max="5" width="11.7109375" bestFit="1" customWidth="1"/>
    <col min="7" max="7" width="10.28515625" bestFit="1" customWidth="1"/>
    <col min="8" max="8" width="19.28515625" bestFit="1" customWidth="1"/>
    <col min="9" max="9" width="19" bestFit="1" customWidth="1"/>
    <col min="10" max="10" width="25.5703125" bestFit="1" customWidth="1"/>
    <col min="11" max="11" width="18.5703125" bestFit="1" customWidth="1"/>
    <col min="12" max="12" width="18.28515625" bestFit="1" customWidth="1"/>
    <col min="13" max="13" width="23.7109375" bestFit="1" customWidth="1"/>
    <col min="14" max="14" width="24.42578125" bestFit="1" customWidth="1"/>
    <col min="15" max="15" width="19.7109375" bestFit="1" customWidth="1"/>
    <col min="16" max="16" width="19.140625" bestFit="1" customWidth="1"/>
    <col min="17" max="17" width="19.42578125" bestFit="1" customWidth="1"/>
    <col min="18" max="18" width="18.28515625" bestFit="1" customWidth="1"/>
    <col min="19" max="19" width="18.5703125" bestFit="1" customWidth="1"/>
    <col min="20" max="20" width="23.7109375" bestFit="1" customWidth="1"/>
    <col min="21" max="21" width="19" bestFit="1" customWidth="1"/>
  </cols>
  <sheetData>
    <row r="1" spans="1:21" x14ac:dyDescent="0.25">
      <c r="A1" t="s">
        <v>84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85</v>
      </c>
      <c r="H1" t="s">
        <v>86</v>
      </c>
      <c r="I1" t="s">
        <v>87</v>
      </c>
      <c r="J1" t="s">
        <v>99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89</v>
      </c>
      <c r="S1" t="s">
        <v>88</v>
      </c>
      <c r="T1" t="s">
        <v>90</v>
      </c>
      <c r="U1" t="s">
        <v>87</v>
      </c>
    </row>
    <row r="2" spans="1:21" x14ac:dyDescent="0.25">
      <c r="A2" t="str">
        <f>_xlfn.CONCAT(B2," ",C2," ",D2," ",E2," CLASS ",LEFT(F2,1))</f>
        <v>0–80 or 0.060–80 UNF CLASS 2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>
        <v>5.0000000000000001E-4</v>
      </c>
      <c r="H2">
        <v>5.9499999999999997E-2</v>
      </c>
      <c r="I2">
        <v>5.6300000000000003E-2</v>
      </c>
      <c r="J2">
        <v>0</v>
      </c>
      <c r="K2">
        <v>5.1400000000000001E-2</v>
      </c>
      <c r="L2">
        <v>4.9599999999999998E-2</v>
      </c>
      <c r="M2">
        <v>1.7619999999999999E-3</v>
      </c>
      <c r="N2">
        <v>4.4600000000000001E-2</v>
      </c>
      <c r="O2" t="s">
        <v>56</v>
      </c>
      <c r="P2">
        <v>4.65E-2</v>
      </c>
      <c r="Q2">
        <v>5.1400000000000001E-2</v>
      </c>
      <c r="R2">
        <v>5.1900000000000002E-2</v>
      </c>
      <c r="S2">
        <v>5.4199999999999998E-2</v>
      </c>
      <c r="T2">
        <v>2.3E-3</v>
      </c>
      <c r="U2">
        <v>0.06</v>
      </c>
    </row>
    <row r="3" spans="1:21" x14ac:dyDescent="0.25">
      <c r="A3" t="str">
        <f t="shared" ref="A3:A66" si="0">_xlfn.CONCAT(B3," ",C3," ",D3," ",E3," CLASS ",LEFT(F3,1))</f>
        <v>0–80 or 0.060–80 UNF CLASS 3</v>
      </c>
      <c r="B3" t="s">
        <v>51</v>
      </c>
      <c r="C3" t="s">
        <v>52</v>
      </c>
      <c r="D3" t="s">
        <v>53</v>
      </c>
      <c r="E3" t="s">
        <v>54</v>
      </c>
      <c r="F3" t="s">
        <v>57</v>
      </c>
      <c r="G3">
        <v>0</v>
      </c>
      <c r="H3">
        <v>0.06</v>
      </c>
      <c r="I3">
        <v>5.6800000000000003E-2</v>
      </c>
      <c r="J3">
        <v>0</v>
      </c>
      <c r="K3">
        <v>5.1900000000000002E-2</v>
      </c>
      <c r="L3">
        <v>5.0599999999999999E-2</v>
      </c>
      <c r="M3">
        <v>1.2999999999999999E-3</v>
      </c>
      <c r="N3">
        <v>4.5100000000000001E-2</v>
      </c>
      <c r="O3" t="s">
        <v>58</v>
      </c>
      <c r="P3">
        <v>4.65E-2</v>
      </c>
      <c r="Q3">
        <v>5.1400000000000001E-2</v>
      </c>
      <c r="R3">
        <v>5.1900000000000002E-2</v>
      </c>
      <c r="S3">
        <v>5.3600000000000002E-2</v>
      </c>
      <c r="T3">
        <v>1.6999999999999999E-3</v>
      </c>
      <c r="U3">
        <v>0.06</v>
      </c>
    </row>
    <row r="4" spans="1:21" x14ac:dyDescent="0.25">
      <c r="A4" t="str">
        <f t="shared" si="0"/>
        <v>1–64 or 0.073–64 UNC CLASS 2</v>
      </c>
      <c r="B4" t="s">
        <v>59</v>
      </c>
      <c r="C4" t="s">
        <v>52</v>
      </c>
      <c r="D4" t="s">
        <v>60</v>
      </c>
      <c r="E4" t="s">
        <v>61</v>
      </c>
      <c r="F4" t="s">
        <v>55</v>
      </c>
      <c r="G4">
        <v>5.9999999999999995E-4</v>
      </c>
      <c r="H4">
        <v>7.2400000000000006E-2</v>
      </c>
      <c r="I4">
        <v>6.8599999999999994E-2</v>
      </c>
      <c r="J4">
        <v>0</v>
      </c>
      <c r="K4">
        <v>6.2300000000000001E-2</v>
      </c>
      <c r="L4">
        <v>6.0299999999999999E-2</v>
      </c>
      <c r="M4">
        <v>1.97E-3</v>
      </c>
      <c r="N4">
        <v>5.3800000000000001E-2</v>
      </c>
      <c r="O4" t="s">
        <v>56</v>
      </c>
      <c r="P4">
        <v>5.6099999999999997E-2</v>
      </c>
      <c r="Q4">
        <v>6.2199999999999998E-2</v>
      </c>
      <c r="R4">
        <v>6.2899999999999998E-2</v>
      </c>
      <c r="S4">
        <v>6.5500000000000003E-2</v>
      </c>
      <c r="T4">
        <v>2.5999999999999999E-3</v>
      </c>
      <c r="U4">
        <v>7.2999999999999995E-2</v>
      </c>
    </row>
    <row r="5" spans="1:21" x14ac:dyDescent="0.25">
      <c r="A5" t="str">
        <f t="shared" si="0"/>
        <v>1–64 or 0.073–64 UNC CLASS 3</v>
      </c>
      <c r="B5" t="s">
        <v>59</v>
      </c>
      <c r="C5" t="s">
        <v>52</v>
      </c>
      <c r="D5" t="s">
        <v>60</v>
      </c>
      <c r="E5" t="s">
        <v>61</v>
      </c>
      <c r="F5" t="s">
        <v>57</v>
      </c>
      <c r="G5">
        <v>0</v>
      </c>
      <c r="H5">
        <v>7.2999999999999995E-2</v>
      </c>
      <c r="I5">
        <v>6.9199999999999998E-2</v>
      </c>
      <c r="J5">
        <v>0</v>
      </c>
      <c r="K5">
        <v>6.2899999999999998E-2</v>
      </c>
      <c r="L5">
        <v>6.1400000000000003E-2</v>
      </c>
      <c r="M5">
        <v>1.5E-3</v>
      </c>
      <c r="N5">
        <v>5.4399999999999997E-2</v>
      </c>
      <c r="O5" t="s">
        <v>58</v>
      </c>
      <c r="P5">
        <v>5.6099999999999997E-2</v>
      </c>
      <c r="Q5">
        <v>6.2199999999999998E-2</v>
      </c>
      <c r="R5">
        <v>6.2899999999999998E-2</v>
      </c>
      <c r="S5">
        <v>6.4799999999999996E-2</v>
      </c>
      <c r="T5">
        <v>1.9E-3</v>
      </c>
      <c r="U5">
        <v>7.2999999999999995E-2</v>
      </c>
    </row>
    <row r="6" spans="1:21" x14ac:dyDescent="0.25">
      <c r="A6" t="str">
        <f t="shared" si="0"/>
        <v>1–72 or 0.073–72 UNF CLASS 2</v>
      </c>
      <c r="B6" t="s">
        <v>62</v>
      </c>
      <c r="C6" t="s">
        <v>52</v>
      </c>
      <c r="D6" t="s">
        <v>63</v>
      </c>
      <c r="E6" t="s">
        <v>54</v>
      </c>
      <c r="F6" t="s">
        <v>55</v>
      </c>
      <c r="G6">
        <v>5.9999999999999995E-4</v>
      </c>
      <c r="H6">
        <v>7.2400000000000006E-2</v>
      </c>
      <c r="I6">
        <v>6.8900000000000003E-2</v>
      </c>
      <c r="J6">
        <v>0</v>
      </c>
      <c r="K6">
        <v>6.3399999999999998E-2</v>
      </c>
      <c r="L6">
        <v>6.1499999999999999E-2</v>
      </c>
      <c r="M6">
        <v>1.8990000000000001E-3</v>
      </c>
      <c r="N6">
        <v>5.5899999999999998E-2</v>
      </c>
      <c r="O6" t="s">
        <v>56</v>
      </c>
      <c r="P6">
        <v>5.8000000000000003E-2</v>
      </c>
      <c r="Q6">
        <v>6.3399999999999998E-2</v>
      </c>
      <c r="R6">
        <v>6.4000000000000001E-2</v>
      </c>
      <c r="S6">
        <v>6.6500000000000004E-2</v>
      </c>
      <c r="T6">
        <v>2.5000000000000001E-3</v>
      </c>
      <c r="U6">
        <v>7.2999999999999995E-2</v>
      </c>
    </row>
    <row r="7" spans="1:21" x14ac:dyDescent="0.25">
      <c r="A7" t="str">
        <f t="shared" si="0"/>
        <v>1–72 or 0.073–72 UNF CLASS 3</v>
      </c>
      <c r="B7" t="s">
        <v>62</v>
      </c>
      <c r="C7" t="s">
        <v>52</v>
      </c>
      <c r="D7" t="s">
        <v>63</v>
      </c>
      <c r="E7" t="s">
        <v>54</v>
      </c>
      <c r="F7" t="s">
        <v>57</v>
      </c>
      <c r="G7">
        <v>0</v>
      </c>
      <c r="H7">
        <v>7.2999999999999995E-2</v>
      </c>
      <c r="I7">
        <v>6.9500000000000006E-2</v>
      </c>
      <c r="J7">
        <v>0</v>
      </c>
      <c r="K7">
        <v>6.4000000000000001E-2</v>
      </c>
      <c r="L7">
        <v>6.2600000000000003E-2</v>
      </c>
      <c r="M7">
        <v>1.4E-3</v>
      </c>
      <c r="N7">
        <v>5.6500000000000002E-2</v>
      </c>
      <c r="O7" t="s">
        <v>58</v>
      </c>
      <c r="P7">
        <v>5.8000000000000003E-2</v>
      </c>
      <c r="Q7">
        <v>6.3399999999999998E-2</v>
      </c>
      <c r="R7">
        <v>6.4000000000000001E-2</v>
      </c>
      <c r="S7">
        <v>6.59E-2</v>
      </c>
      <c r="T7">
        <v>1.9E-3</v>
      </c>
      <c r="U7">
        <v>7.2999999999999995E-2</v>
      </c>
    </row>
    <row r="8" spans="1:21" x14ac:dyDescent="0.25">
      <c r="A8" t="str">
        <f t="shared" si="0"/>
        <v>2–56 or 0.086–56 UNC CLASS 2</v>
      </c>
      <c r="B8" t="s">
        <v>64</v>
      </c>
      <c r="C8" t="s">
        <v>52</v>
      </c>
      <c r="D8" t="s">
        <v>65</v>
      </c>
      <c r="E8" t="s">
        <v>61</v>
      </c>
      <c r="F8" t="s">
        <v>55</v>
      </c>
      <c r="G8">
        <v>5.9999999999999995E-4</v>
      </c>
      <c r="H8">
        <v>8.5400000000000004E-2</v>
      </c>
      <c r="I8">
        <v>8.1299999999999997E-2</v>
      </c>
      <c r="J8">
        <v>0</v>
      </c>
      <c r="K8">
        <v>7.3800000000000004E-2</v>
      </c>
      <c r="L8">
        <v>7.17E-2</v>
      </c>
      <c r="M8">
        <v>2.127E-3</v>
      </c>
      <c r="N8">
        <v>6.4100000000000004E-2</v>
      </c>
      <c r="O8" t="s">
        <v>56</v>
      </c>
      <c r="P8">
        <v>6.6699999999999995E-2</v>
      </c>
      <c r="Q8">
        <v>7.3700000000000002E-2</v>
      </c>
      <c r="R8">
        <v>7.4399999999999994E-2</v>
      </c>
      <c r="S8">
        <v>7.7200000000000005E-2</v>
      </c>
      <c r="T8">
        <v>2.8E-3</v>
      </c>
      <c r="U8">
        <v>8.5999999999999993E-2</v>
      </c>
    </row>
    <row r="9" spans="1:21" x14ac:dyDescent="0.25">
      <c r="A9" t="str">
        <f t="shared" si="0"/>
        <v>2–56 or 0.086–56 UNC CLASS 3</v>
      </c>
      <c r="B9" t="s">
        <v>64</v>
      </c>
      <c r="C9" t="s">
        <v>52</v>
      </c>
      <c r="D9" t="s">
        <v>65</v>
      </c>
      <c r="E9" t="s">
        <v>61</v>
      </c>
      <c r="F9" t="s">
        <v>57</v>
      </c>
      <c r="G9">
        <v>0</v>
      </c>
      <c r="H9">
        <v>8.5999999999999993E-2</v>
      </c>
      <c r="I9">
        <v>8.1900000000000001E-2</v>
      </c>
      <c r="J9">
        <v>0</v>
      </c>
      <c r="K9">
        <v>7.4399999999999994E-2</v>
      </c>
      <c r="L9">
        <v>7.2800000000000004E-2</v>
      </c>
      <c r="M9">
        <v>1.6000000000000001E-3</v>
      </c>
      <c r="N9">
        <v>6.4699999999999994E-2</v>
      </c>
      <c r="O9" t="s">
        <v>58</v>
      </c>
      <c r="P9">
        <v>6.6699999999999995E-2</v>
      </c>
      <c r="Q9">
        <v>7.3700000000000002E-2</v>
      </c>
      <c r="R9">
        <v>7.4399999999999994E-2</v>
      </c>
      <c r="S9">
        <v>7.6499999999999999E-2</v>
      </c>
      <c r="T9">
        <v>2.0999999999999999E-3</v>
      </c>
      <c r="U9">
        <v>8.5999999999999993E-2</v>
      </c>
    </row>
    <row r="10" spans="1:21" x14ac:dyDescent="0.25">
      <c r="A10" t="str">
        <f t="shared" si="0"/>
        <v>2–64 or 0.086–64 UNF CLASS 2</v>
      </c>
      <c r="B10" t="s">
        <v>66</v>
      </c>
      <c r="C10" t="s">
        <v>52</v>
      </c>
      <c r="D10" t="s">
        <v>67</v>
      </c>
      <c r="E10" t="s">
        <v>54</v>
      </c>
      <c r="F10" t="s">
        <v>55</v>
      </c>
      <c r="G10">
        <v>5.9999999999999995E-4</v>
      </c>
      <c r="H10">
        <v>8.5400000000000004E-2</v>
      </c>
      <c r="I10">
        <v>8.1600000000000006E-2</v>
      </c>
      <c r="J10">
        <v>0</v>
      </c>
      <c r="K10">
        <v>7.5300000000000006E-2</v>
      </c>
      <c r="L10">
        <v>7.3300000000000004E-2</v>
      </c>
      <c r="M10">
        <v>2.0400000000000001E-3</v>
      </c>
      <c r="N10">
        <v>6.6799999999999998E-2</v>
      </c>
      <c r="O10" t="s">
        <v>56</v>
      </c>
      <c r="P10">
        <v>6.9099999999999995E-2</v>
      </c>
      <c r="Q10">
        <v>7.5200000000000003E-2</v>
      </c>
      <c r="R10">
        <v>7.5899999999999995E-2</v>
      </c>
      <c r="S10">
        <v>7.8600000000000003E-2</v>
      </c>
      <c r="T10">
        <v>2.7000000000000001E-3</v>
      </c>
      <c r="U10">
        <v>8.5999999999999993E-2</v>
      </c>
    </row>
    <row r="11" spans="1:21" x14ac:dyDescent="0.25">
      <c r="A11" t="str">
        <f t="shared" si="0"/>
        <v>2–64 or 0.086–64 UNF CLASS 3</v>
      </c>
      <c r="B11" t="s">
        <v>66</v>
      </c>
      <c r="C11" t="s">
        <v>52</v>
      </c>
      <c r="D11" t="s">
        <v>67</v>
      </c>
      <c r="E11" t="s">
        <v>54</v>
      </c>
      <c r="F11" t="s">
        <v>57</v>
      </c>
      <c r="G11">
        <v>0</v>
      </c>
      <c r="H11">
        <v>8.5999999999999993E-2</v>
      </c>
      <c r="I11">
        <v>8.2199999999999995E-2</v>
      </c>
      <c r="J11">
        <v>0</v>
      </c>
      <c r="K11">
        <v>7.5899999999999995E-2</v>
      </c>
      <c r="L11">
        <v>7.4399999999999994E-2</v>
      </c>
      <c r="M11">
        <v>1.5E-3</v>
      </c>
      <c r="N11">
        <v>6.7400000000000002E-2</v>
      </c>
      <c r="O11" t="s">
        <v>58</v>
      </c>
      <c r="P11">
        <v>6.9099999999999995E-2</v>
      </c>
      <c r="Q11">
        <v>7.5200000000000003E-2</v>
      </c>
      <c r="R11">
        <v>7.5899999999999995E-2</v>
      </c>
      <c r="S11">
        <v>7.7899999999999997E-2</v>
      </c>
      <c r="T11">
        <v>2E-3</v>
      </c>
      <c r="U11">
        <v>8.5999999999999993E-2</v>
      </c>
    </row>
    <row r="12" spans="1:21" x14ac:dyDescent="0.25">
      <c r="A12" t="str">
        <f t="shared" si="0"/>
        <v>3–48 or 0.099–48 UNC CLASS 2</v>
      </c>
      <c r="B12" t="s">
        <v>68</v>
      </c>
      <c r="C12" t="s">
        <v>52</v>
      </c>
      <c r="D12" t="s">
        <v>69</v>
      </c>
      <c r="E12" t="s">
        <v>61</v>
      </c>
      <c r="F12" t="s">
        <v>55</v>
      </c>
      <c r="G12">
        <v>6.9999999999999999E-4</v>
      </c>
      <c r="H12">
        <v>9.8299999999999998E-2</v>
      </c>
      <c r="I12">
        <v>9.3799999999999994E-2</v>
      </c>
      <c r="J12">
        <v>0</v>
      </c>
      <c r="K12">
        <v>8.48E-2</v>
      </c>
      <c r="L12">
        <v>8.2500000000000004E-2</v>
      </c>
      <c r="M12">
        <v>2.3019999999999998E-3</v>
      </c>
      <c r="N12">
        <v>7.3499999999999996E-2</v>
      </c>
      <c r="O12" t="s">
        <v>56</v>
      </c>
      <c r="P12">
        <v>7.6399999999999996E-2</v>
      </c>
      <c r="Q12">
        <v>8.4500000000000006E-2</v>
      </c>
      <c r="R12">
        <v>8.5500000000000007E-2</v>
      </c>
      <c r="S12">
        <v>8.8499999999999995E-2</v>
      </c>
      <c r="T12">
        <v>3.0000000000000001E-3</v>
      </c>
      <c r="U12">
        <v>9.9000000000000005E-2</v>
      </c>
    </row>
    <row r="13" spans="1:21" x14ac:dyDescent="0.25">
      <c r="A13" t="str">
        <f t="shared" si="0"/>
        <v>3–48 or 0.099–48 UNC CLASS 3</v>
      </c>
      <c r="B13" t="s">
        <v>68</v>
      </c>
      <c r="C13" t="s">
        <v>52</v>
      </c>
      <c r="D13" t="s">
        <v>69</v>
      </c>
      <c r="E13" t="s">
        <v>61</v>
      </c>
      <c r="F13" t="s">
        <v>57</v>
      </c>
      <c r="G13">
        <v>0</v>
      </c>
      <c r="H13">
        <v>9.9000000000000005E-2</v>
      </c>
      <c r="I13">
        <v>9.4500000000000001E-2</v>
      </c>
      <c r="J13">
        <v>0</v>
      </c>
      <c r="K13">
        <v>8.5500000000000007E-2</v>
      </c>
      <c r="L13">
        <v>8.3799999999999999E-2</v>
      </c>
      <c r="M13">
        <v>1.6999999999999999E-3</v>
      </c>
      <c r="N13">
        <v>7.4200000000000002E-2</v>
      </c>
      <c r="O13" t="s">
        <v>58</v>
      </c>
      <c r="P13">
        <v>7.6399999999999996E-2</v>
      </c>
      <c r="Q13">
        <v>8.4500000000000006E-2</v>
      </c>
      <c r="R13">
        <v>8.5500000000000007E-2</v>
      </c>
      <c r="S13">
        <v>8.77E-2</v>
      </c>
      <c r="T13">
        <v>2.2000000000000001E-3</v>
      </c>
      <c r="U13">
        <v>9.9000000000000005E-2</v>
      </c>
    </row>
    <row r="14" spans="1:21" x14ac:dyDescent="0.25">
      <c r="A14" t="str">
        <f t="shared" si="0"/>
        <v>3–56 or 0.099–56 UNF CLASS 2</v>
      </c>
      <c r="B14" t="s">
        <v>70</v>
      </c>
      <c r="C14" t="s">
        <v>52</v>
      </c>
      <c r="D14" t="s">
        <v>71</v>
      </c>
      <c r="E14" t="s">
        <v>54</v>
      </c>
      <c r="F14" t="s">
        <v>55</v>
      </c>
      <c r="G14">
        <v>6.9999999999999999E-4</v>
      </c>
      <c r="H14">
        <v>9.8299999999999998E-2</v>
      </c>
      <c r="I14">
        <v>9.4200000000000006E-2</v>
      </c>
      <c r="J14">
        <v>0</v>
      </c>
      <c r="K14">
        <v>8.6699999999999999E-2</v>
      </c>
      <c r="L14">
        <v>8.4500000000000006E-2</v>
      </c>
      <c r="M14">
        <v>2.1909999999999998E-3</v>
      </c>
      <c r="N14">
        <v>7.6999999999999999E-2</v>
      </c>
      <c r="O14" t="s">
        <v>56</v>
      </c>
      <c r="P14">
        <v>7.9699999999999993E-2</v>
      </c>
      <c r="Q14">
        <v>8.6499999999999994E-2</v>
      </c>
      <c r="R14">
        <v>8.7400000000000005E-2</v>
      </c>
      <c r="S14">
        <v>9.0200000000000002E-2</v>
      </c>
      <c r="T14">
        <v>2.8E-3</v>
      </c>
      <c r="U14">
        <v>9.9000000000000005E-2</v>
      </c>
    </row>
    <row r="15" spans="1:21" x14ac:dyDescent="0.25">
      <c r="A15" t="str">
        <f t="shared" si="0"/>
        <v>3–56 or 0.099–56 UNF CLASS 3</v>
      </c>
      <c r="B15" t="s">
        <v>70</v>
      </c>
      <c r="C15" t="s">
        <v>52</v>
      </c>
      <c r="D15" t="s">
        <v>71</v>
      </c>
      <c r="E15" t="s">
        <v>54</v>
      </c>
      <c r="F15" t="s">
        <v>57</v>
      </c>
      <c r="G15">
        <v>0</v>
      </c>
      <c r="H15">
        <v>9.9000000000000005E-2</v>
      </c>
      <c r="I15">
        <v>9.4899999999999998E-2</v>
      </c>
      <c r="J15">
        <v>0</v>
      </c>
      <c r="K15">
        <v>8.7400000000000005E-2</v>
      </c>
      <c r="L15">
        <v>8.5800000000000001E-2</v>
      </c>
      <c r="M15">
        <v>1.6000000000000001E-3</v>
      </c>
      <c r="N15">
        <v>7.7700000000000005E-2</v>
      </c>
      <c r="O15" t="s">
        <v>58</v>
      </c>
      <c r="P15">
        <v>7.9699999999999993E-2</v>
      </c>
      <c r="Q15">
        <v>8.6499999999999994E-2</v>
      </c>
      <c r="R15">
        <v>8.7400000000000005E-2</v>
      </c>
      <c r="S15">
        <v>8.9499999999999996E-2</v>
      </c>
      <c r="T15">
        <v>2.0999999999999999E-3</v>
      </c>
      <c r="U15">
        <v>9.9000000000000005E-2</v>
      </c>
    </row>
    <row r="16" spans="1:21" x14ac:dyDescent="0.25">
      <c r="A16" t="str">
        <f t="shared" si="0"/>
        <v>4–40 or 0.112–40 UNC CLASS 2</v>
      </c>
      <c r="B16" t="s">
        <v>72</v>
      </c>
      <c r="C16" t="s">
        <v>52</v>
      </c>
      <c r="D16" t="s">
        <v>73</v>
      </c>
      <c r="E16" t="s">
        <v>61</v>
      </c>
      <c r="F16" t="s">
        <v>55</v>
      </c>
      <c r="G16">
        <v>8.0000000000000004E-4</v>
      </c>
      <c r="H16">
        <v>0.11119999999999999</v>
      </c>
      <c r="I16">
        <v>0.1061</v>
      </c>
      <c r="J16">
        <v>0</v>
      </c>
      <c r="K16">
        <v>9.5000000000000001E-2</v>
      </c>
      <c r="L16">
        <v>9.2499999999999999E-2</v>
      </c>
      <c r="M16">
        <v>2.5070000000000001E-3</v>
      </c>
      <c r="N16">
        <v>8.14E-2</v>
      </c>
      <c r="O16" t="s">
        <v>56</v>
      </c>
      <c r="P16">
        <v>8.4900000000000003E-2</v>
      </c>
      <c r="Q16">
        <v>9.3899999999999997E-2</v>
      </c>
      <c r="R16">
        <v>9.5799999999999996E-2</v>
      </c>
      <c r="S16">
        <v>9.9099999999999994E-2</v>
      </c>
      <c r="T16">
        <v>3.3E-3</v>
      </c>
      <c r="U16">
        <v>0.112</v>
      </c>
    </row>
    <row r="17" spans="1:21" x14ac:dyDescent="0.25">
      <c r="A17" t="str">
        <f t="shared" si="0"/>
        <v>4–40 or 0.112–40 UNC CLASS 3</v>
      </c>
      <c r="B17" t="s">
        <v>72</v>
      </c>
      <c r="C17" t="s">
        <v>52</v>
      </c>
      <c r="D17" t="s">
        <v>73</v>
      </c>
      <c r="E17" t="s">
        <v>61</v>
      </c>
      <c r="F17" t="s">
        <v>57</v>
      </c>
      <c r="G17">
        <v>0</v>
      </c>
      <c r="H17">
        <v>0.112</v>
      </c>
      <c r="I17">
        <v>0.1069</v>
      </c>
      <c r="J17">
        <v>0</v>
      </c>
      <c r="K17">
        <v>9.5799999999999996E-2</v>
      </c>
      <c r="L17">
        <v>9.3899999999999997E-2</v>
      </c>
      <c r="M17">
        <v>1.9E-3</v>
      </c>
      <c r="N17">
        <v>8.2199999999999995E-2</v>
      </c>
      <c r="O17" t="s">
        <v>58</v>
      </c>
      <c r="P17">
        <v>8.4900000000000003E-2</v>
      </c>
      <c r="Q17">
        <v>9.3899999999999997E-2</v>
      </c>
      <c r="R17">
        <v>9.5799999999999996E-2</v>
      </c>
      <c r="S17">
        <v>9.8199999999999996E-2</v>
      </c>
      <c r="T17">
        <v>2.3999999999999998E-3</v>
      </c>
      <c r="U17">
        <v>0.112</v>
      </c>
    </row>
    <row r="18" spans="1:21" x14ac:dyDescent="0.25">
      <c r="A18" t="str">
        <f t="shared" si="0"/>
        <v>4–48 or 0.112–48 UNF CLASS 2</v>
      </c>
      <c r="B18" t="s">
        <v>74</v>
      </c>
      <c r="C18" t="s">
        <v>52</v>
      </c>
      <c r="D18" t="s">
        <v>75</v>
      </c>
      <c r="E18" t="s">
        <v>54</v>
      </c>
      <c r="F18" t="s">
        <v>55</v>
      </c>
      <c r="G18">
        <v>6.9999999999999999E-4</v>
      </c>
      <c r="H18">
        <v>0.1113</v>
      </c>
      <c r="I18">
        <v>0.10680000000000001</v>
      </c>
      <c r="J18">
        <v>0</v>
      </c>
      <c r="K18">
        <v>9.7799999999999998E-2</v>
      </c>
      <c r="L18">
        <v>9.5399999999999999E-2</v>
      </c>
      <c r="M18">
        <v>2.3609999999999998E-3</v>
      </c>
      <c r="N18">
        <v>8.6499999999999994E-2</v>
      </c>
      <c r="O18" t="s">
        <v>56</v>
      </c>
      <c r="P18">
        <v>8.9399999999999993E-2</v>
      </c>
      <c r="Q18">
        <v>9.6799999999999997E-2</v>
      </c>
      <c r="R18">
        <v>9.8500000000000004E-2</v>
      </c>
      <c r="S18">
        <v>0.1016</v>
      </c>
      <c r="T18">
        <v>3.0999999999999999E-3</v>
      </c>
      <c r="U18">
        <v>0.112</v>
      </c>
    </row>
    <row r="19" spans="1:21" x14ac:dyDescent="0.25">
      <c r="A19" t="str">
        <f t="shared" si="0"/>
        <v>4–48 or 0.112–48 UNF CLASS 3</v>
      </c>
      <c r="B19" t="s">
        <v>74</v>
      </c>
      <c r="C19" t="s">
        <v>52</v>
      </c>
      <c r="D19" t="s">
        <v>75</v>
      </c>
      <c r="E19" t="s">
        <v>54</v>
      </c>
      <c r="F19" t="s">
        <v>57</v>
      </c>
      <c r="G19">
        <v>0</v>
      </c>
      <c r="H19">
        <v>0.112</v>
      </c>
      <c r="I19">
        <v>0.1075</v>
      </c>
      <c r="J19">
        <v>0</v>
      </c>
      <c r="K19">
        <v>9.8500000000000004E-2</v>
      </c>
      <c r="L19">
        <v>9.6699999999999994E-2</v>
      </c>
      <c r="M19">
        <v>1.8E-3</v>
      </c>
      <c r="N19">
        <v>8.72E-2</v>
      </c>
      <c r="O19" t="s">
        <v>58</v>
      </c>
      <c r="P19">
        <v>8.9399999999999993E-2</v>
      </c>
      <c r="Q19">
        <v>9.6799999999999997E-2</v>
      </c>
      <c r="R19">
        <v>9.8500000000000004E-2</v>
      </c>
      <c r="S19">
        <v>0.1008</v>
      </c>
      <c r="T19">
        <v>2.3E-3</v>
      </c>
      <c r="U19">
        <v>0.112</v>
      </c>
    </row>
    <row r="20" spans="1:21" x14ac:dyDescent="0.25">
      <c r="A20" t="str">
        <f t="shared" si="0"/>
        <v>5–40 or 0.125–40 UNC CLASS 2</v>
      </c>
      <c r="B20" t="s">
        <v>76</v>
      </c>
      <c r="C20" t="s">
        <v>52</v>
      </c>
      <c r="D20" t="s">
        <v>77</v>
      </c>
      <c r="E20" t="s">
        <v>61</v>
      </c>
      <c r="F20" t="s">
        <v>55</v>
      </c>
      <c r="G20">
        <v>8.0000000000000004E-4</v>
      </c>
      <c r="H20">
        <v>0.1242</v>
      </c>
      <c r="I20">
        <v>0.1191</v>
      </c>
      <c r="J20">
        <v>0</v>
      </c>
      <c r="K20">
        <v>0.108</v>
      </c>
      <c r="L20">
        <v>0.10539999999999999</v>
      </c>
      <c r="M20">
        <v>2.562E-3</v>
      </c>
      <c r="N20">
        <v>9.4399999999999998E-2</v>
      </c>
      <c r="O20" t="s">
        <v>56</v>
      </c>
      <c r="P20">
        <v>9.7900000000000001E-2</v>
      </c>
      <c r="Q20">
        <v>0.1062</v>
      </c>
      <c r="R20">
        <v>0.10879999999999999</v>
      </c>
      <c r="S20">
        <v>0.11210000000000001</v>
      </c>
      <c r="T20">
        <v>3.3E-3</v>
      </c>
      <c r="U20">
        <v>0.125</v>
      </c>
    </row>
    <row r="21" spans="1:21" x14ac:dyDescent="0.25">
      <c r="A21" t="str">
        <f t="shared" si="0"/>
        <v>5–40 or 0.125–40 UNC CLASS 3</v>
      </c>
      <c r="B21" t="s">
        <v>76</v>
      </c>
      <c r="C21" t="s">
        <v>52</v>
      </c>
      <c r="D21" t="s">
        <v>77</v>
      </c>
      <c r="E21" t="s">
        <v>61</v>
      </c>
      <c r="F21" t="s">
        <v>57</v>
      </c>
      <c r="G21">
        <v>0</v>
      </c>
      <c r="H21">
        <v>0.125</v>
      </c>
      <c r="I21">
        <v>0.11990000000000001</v>
      </c>
      <c r="J21">
        <v>0</v>
      </c>
      <c r="K21">
        <v>0.10879999999999999</v>
      </c>
      <c r="L21">
        <v>0.1069</v>
      </c>
      <c r="M21">
        <v>1.9E-3</v>
      </c>
      <c r="N21">
        <v>9.5200000000000007E-2</v>
      </c>
      <c r="O21" t="s">
        <v>58</v>
      </c>
      <c r="P21">
        <v>9.7900000000000001E-2</v>
      </c>
      <c r="Q21">
        <v>0.1062</v>
      </c>
      <c r="R21">
        <v>0.10879999999999999</v>
      </c>
      <c r="S21">
        <v>0.1113</v>
      </c>
      <c r="T21">
        <v>2.5000000000000001E-3</v>
      </c>
      <c r="U21">
        <v>0.125</v>
      </c>
    </row>
    <row r="22" spans="1:21" x14ac:dyDescent="0.25">
      <c r="A22" t="str">
        <f t="shared" si="0"/>
        <v>5–44 or 0.125–44 UNF CLASS 2</v>
      </c>
      <c r="B22" t="s">
        <v>78</v>
      </c>
      <c r="C22" t="s">
        <v>52</v>
      </c>
      <c r="D22" t="s">
        <v>79</v>
      </c>
      <c r="E22" t="s">
        <v>54</v>
      </c>
      <c r="F22" t="s">
        <v>55</v>
      </c>
      <c r="G22">
        <v>6.9999999999999999E-4</v>
      </c>
      <c r="H22">
        <v>0.12429999999999999</v>
      </c>
      <c r="I22">
        <v>0.1195</v>
      </c>
      <c r="J22">
        <v>0</v>
      </c>
      <c r="K22">
        <v>0.1095</v>
      </c>
      <c r="L22">
        <v>0.107</v>
      </c>
      <c r="M22">
        <v>2.4840000000000001E-3</v>
      </c>
      <c r="N22">
        <v>9.7199999999999995E-2</v>
      </c>
      <c r="O22" t="s">
        <v>56</v>
      </c>
      <c r="P22">
        <v>0.1004</v>
      </c>
      <c r="Q22">
        <v>0.1079</v>
      </c>
      <c r="R22">
        <v>0.11020000000000001</v>
      </c>
      <c r="S22">
        <v>0.1134</v>
      </c>
      <c r="T22">
        <v>3.2000000000000002E-3</v>
      </c>
      <c r="U22">
        <v>0.125</v>
      </c>
    </row>
    <row r="23" spans="1:21" x14ac:dyDescent="0.25">
      <c r="A23" t="str">
        <f t="shared" si="0"/>
        <v>5–44 or 0.125–44 UNF CLASS 3</v>
      </c>
      <c r="B23" t="s">
        <v>78</v>
      </c>
      <c r="C23" t="s">
        <v>52</v>
      </c>
      <c r="D23" t="s">
        <v>79</v>
      </c>
      <c r="E23" t="s">
        <v>54</v>
      </c>
      <c r="F23" t="s">
        <v>57</v>
      </c>
      <c r="G23">
        <v>0</v>
      </c>
      <c r="H23">
        <v>0.125</v>
      </c>
      <c r="I23">
        <v>0.1202</v>
      </c>
      <c r="J23">
        <v>0</v>
      </c>
      <c r="K23">
        <v>0.11020000000000001</v>
      </c>
      <c r="L23">
        <v>0.10829999999999999</v>
      </c>
      <c r="M23">
        <v>1.9E-3</v>
      </c>
      <c r="N23">
        <v>9.7900000000000001E-2</v>
      </c>
      <c r="O23" t="s">
        <v>58</v>
      </c>
      <c r="P23">
        <v>0.1004</v>
      </c>
      <c r="Q23">
        <v>0.1079</v>
      </c>
      <c r="R23">
        <v>0.11020000000000001</v>
      </c>
      <c r="S23">
        <v>0.11260000000000001</v>
      </c>
      <c r="T23">
        <v>2.3999999999999998E-3</v>
      </c>
      <c r="U23">
        <v>0.125</v>
      </c>
    </row>
    <row r="24" spans="1:21" x14ac:dyDescent="0.25">
      <c r="A24" t="str">
        <f t="shared" si="0"/>
        <v>6–32 or 0.138–32 UNC CLASS 2</v>
      </c>
      <c r="B24" t="s">
        <v>80</v>
      </c>
      <c r="C24" t="s">
        <v>52</v>
      </c>
      <c r="D24" t="s">
        <v>81</v>
      </c>
      <c r="E24" t="s">
        <v>61</v>
      </c>
      <c r="F24" t="s">
        <v>55</v>
      </c>
      <c r="G24">
        <v>8.0000000000000004E-4</v>
      </c>
      <c r="H24">
        <v>0.13719999999999999</v>
      </c>
      <c r="I24">
        <v>0.13120000000000001</v>
      </c>
      <c r="J24">
        <v>0</v>
      </c>
      <c r="K24">
        <v>0.1169</v>
      </c>
      <c r="L24">
        <v>0.11409999999999999</v>
      </c>
      <c r="M24">
        <v>2.82E-3</v>
      </c>
      <c r="N24">
        <v>0.1</v>
      </c>
      <c r="O24" t="s">
        <v>56</v>
      </c>
      <c r="P24">
        <v>0.104</v>
      </c>
      <c r="Q24">
        <v>0.114</v>
      </c>
      <c r="R24">
        <v>0.1177</v>
      </c>
      <c r="S24">
        <v>0.12139999999999999</v>
      </c>
      <c r="T24">
        <v>3.7000000000000002E-3</v>
      </c>
      <c r="U24">
        <v>0.13800000000000001</v>
      </c>
    </row>
    <row r="25" spans="1:21" x14ac:dyDescent="0.25">
      <c r="A25" t="str">
        <f t="shared" si="0"/>
        <v>6–32 or 0.138–32 UNC CLASS 3</v>
      </c>
      <c r="B25" t="s">
        <v>80</v>
      </c>
      <c r="C25" t="s">
        <v>52</v>
      </c>
      <c r="D25" t="s">
        <v>81</v>
      </c>
      <c r="E25" t="s">
        <v>61</v>
      </c>
      <c r="F25" t="s">
        <v>57</v>
      </c>
      <c r="G25">
        <v>0</v>
      </c>
      <c r="H25">
        <v>0.13800000000000001</v>
      </c>
      <c r="I25">
        <v>0.13200000000000001</v>
      </c>
      <c r="J25">
        <v>0</v>
      </c>
      <c r="K25">
        <v>0.1177</v>
      </c>
      <c r="L25">
        <v>0.11559999999999999</v>
      </c>
      <c r="M25">
        <v>2.0999999999999999E-3</v>
      </c>
      <c r="N25">
        <v>0.1008</v>
      </c>
      <c r="O25" t="s">
        <v>58</v>
      </c>
      <c r="P25">
        <v>0.104</v>
      </c>
      <c r="Q25">
        <v>0.1139</v>
      </c>
      <c r="R25">
        <v>0.1177</v>
      </c>
      <c r="S25">
        <v>0.12039999999999999</v>
      </c>
      <c r="T25">
        <v>2.7000000000000001E-3</v>
      </c>
      <c r="U25">
        <v>0.13800000000000001</v>
      </c>
    </row>
    <row r="26" spans="1:21" x14ac:dyDescent="0.25">
      <c r="A26" t="str">
        <f t="shared" si="0"/>
        <v>6–40 or 0.138–40 UNF CLASS 2</v>
      </c>
      <c r="B26" t="s">
        <v>82</v>
      </c>
      <c r="C26" t="s">
        <v>52</v>
      </c>
      <c r="D26" t="s">
        <v>83</v>
      </c>
      <c r="E26" t="s">
        <v>54</v>
      </c>
      <c r="F26" t="s">
        <v>55</v>
      </c>
      <c r="G26">
        <v>8.0000000000000004E-4</v>
      </c>
      <c r="H26">
        <v>0.13719999999999999</v>
      </c>
      <c r="I26">
        <v>0.1321</v>
      </c>
      <c r="J26">
        <v>0</v>
      </c>
      <c r="K26">
        <v>0.121</v>
      </c>
      <c r="L26">
        <v>0.11840000000000001</v>
      </c>
      <c r="M26">
        <v>2.614E-3</v>
      </c>
      <c r="N26">
        <v>0.1074</v>
      </c>
      <c r="O26" t="s">
        <v>56</v>
      </c>
      <c r="P26">
        <v>0.111</v>
      </c>
      <c r="Q26">
        <v>0.11899999999999999</v>
      </c>
      <c r="R26">
        <v>0.12180000000000001</v>
      </c>
      <c r="S26">
        <v>0.12520000000000001</v>
      </c>
      <c r="T26">
        <v>3.3999999999999998E-3</v>
      </c>
      <c r="U26">
        <v>0.13800000000000001</v>
      </c>
    </row>
    <row r="27" spans="1:21" x14ac:dyDescent="0.25">
      <c r="A27" t="str">
        <f t="shared" si="0"/>
        <v>6–40 or 0.138–40 UNF CLASS 3</v>
      </c>
      <c r="B27" t="s">
        <v>82</v>
      </c>
      <c r="C27" t="s">
        <v>52</v>
      </c>
      <c r="D27" t="s">
        <v>83</v>
      </c>
      <c r="E27" t="s">
        <v>54</v>
      </c>
      <c r="F27" t="s">
        <v>57</v>
      </c>
      <c r="G27">
        <v>0</v>
      </c>
      <c r="H27">
        <v>0.13800000000000001</v>
      </c>
      <c r="I27">
        <v>0.13289999999999999</v>
      </c>
      <c r="J27">
        <v>0</v>
      </c>
      <c r="K27">
        <v>0.12180000000000001</v>
      </c>
      <c r="L27">
        <v>0.1198</v>
      </c>
      <c r="M27">
        <v>2E-3</v>
      </c>
      <c r="N27">
        <v>0.1082</v>
      </c>
      <c r="O27" t="s">
        <v>58</v>
      </c>
      <c r="P27">
        <v>0.111</v>
      </c>
      <c r="Q27">
        <v>0.1186</v>
      </c>
      <c r="R27">
        <v>0.12180000000000001</v>
      </c>
      <c r="S27">
        <v>0.12429999999999999</v>
      </c>
      <c r="T27">
        <v>2.5000000000000001E-3</v>
      </c>
      <c r="U27">
        <v>0.13800000000000001</v>
      </c>
    </row>
    <row r="28" spans="1:21" x14ac:dyDescent="0.25">
      <c r="A28" t="str">
        <f t="shared" si="0"/>
        <v>8-32 or 0.164-32 UNC CLASS 2</v>
      </c>
      <c r="B28" s="2" t="s">
        <v>166</v>
      </c>
      <c r="C28" t="s">
        <v>52</v>
      </c>
      <c r="D28" t="s">
        <v>100</v>
      </c>
      <c r="E28" t="s">
        <v>61</v>
      </c>
      <c r="F28" t="s">
        <v>55</v>
      </c>
      <c r="G28">
        <v>8.9999999999999998E-4</v>
      </c>
      <c r="H28">
        <v>0.16309999999999999</v>
      </c>
      <c r="I28">
        <v>0.15709999999999999</v>
      </c>
      <c r="J28">
        <v>0</v>
      </c>
      <c r="K28">
        <v>0.14280000000000001</v>
      </c>
      <c r="L28">
        <v>0.1399</v>
      </c>
      <c r="M28">
        <v>2.9160000000000002E-3</v>
      </c>
      <c r="N28">
        <v>0.12590000000000001</v>
      </c>
      <c r="O28" t="s">
        <v>56</v>
      </c>
      <c r="P28">
        <v>0.13</v>
      </c>
      <c r="Q28">
        <v>0.13900000000000001</v>
      </c>
      <c r="R28">
        <v>0.14369999999999999</v>
      </c>
      <c r="S28">
        <v>0.14749999999999999</v>
      </c>
      <c r="T28">
        <v>3.8E-3</v>
      </c>
      <c r="U28">
        <v>0.16400000000000001</v>
      </c>
    </row>
    <row r="29" spans="1:21" x14ac:dyDescent="0.25">
      <c r="A29" t="str">
        <f t="shared" si="0"/>
        <v>8-32 or 0.164-32 UNC CLASS 3</v>
      </c>
      <c r="B29" s="2" t="s">
        <v>166</v>
      </c>
      <c r="C29" t="s">
        <v>52</v>
      </c>
      <c r="D29" t="s">
        <v>100</v>
      </c>
      <c r="E29" t="s">
        <v>61</v>
      </c>
      <c r="F29" t="s">
        <v>57</v>
      </c>
      <c r="G29">
        <v>0</v>
      </c>
      <c r="H29">
        <v>0.16400000000000001</v>
      </c>
      <c r="I29">
        <v>0.158</v>
      </c>
      <c r="J29">
        <v>0</v>
      </c>
      <c r="K29">
        <v>0.14369999999999999</v>
      </c>
      <c r="L29">
        <v>0.14149999999999999</v>
      </c>
      <c r="M29">
        <v>2.2000000000000001E-3</v>
      </c>
      <c r="N29">
        <v>0.1268</v>
      </c>
      <c r="O29" t="s">
        <v>58</v>
      </c>
      <c r="P29">
        <v>0.13</v>
      </c>
      <c r="Q29">
        <v>0.13880000000000001</v>
      </c>
      <c r="R29">
        <v>0.14369999999999999</v>
      </c>
      <c r="S29">
        <v>0.14649999999999999</v>
      </c>
      <c r="T29">
        <v>2.8E-3</v>
      </c>
      <c r="U29">
        <v>0.16400000000000001</v>
      </c>
    </row>
    <row r="30" spans="1:21" x14ac:dyDescent="0.25">
      <c r="A30" t="str">
        <f t="shared" si="0"/>
        <v>8-36 or 0.164-36 UNF CLASS 2</v>
      </c>
      <c r="B30" s="2" t="s">
        <v>167</v>
      </c>
      <c r="C30" t="s">
        <v>52</v>
      </c>
      <c r="D30" t="s">
        <v>101</v>
      </c>
      <c r="E30" t="s">
        <v>54</v>
      </c>
      <c r="F30" t="s">
        <v>55</v>
      </c>
      <c r="G30">
        <v>8.0000000000000004E-4</v>
      </c>
      <c r="H30">
        <v>0.16320000000000001</v>
      </c>
      <c r="I30">
        <v>0.15770000000000001</v>
      </c>
      <c r="J30">
        <v>0</v>
      </c>
      <c r="K30">
        <v>0.1452</v>
      </c>
      <c r="L30">
        <v>0.1424</v>
      </c>
      <c r="M30">
        <v>2.8040000000000001E-3</v>
      </c>
      <c r="N30">
        <v>0.13009999999999999</v>
      </c>
      <c r="O30" t="s">
        <v>56</v>
      </c>
      <c r="P30">
        <v>0.13400000000000001</v>
      </c>
      <c r="Q30">
        <v>0.14199999999999999</v>
      </c>
      <c r="R30">
        <v>0.14599999999999999</v>
      </c>
      <c r="S30">
        <v>0.14960000000000001</v>
      </c>
      <c r="T30">
        <v>3.5999999999999999E-3</v>
      </c>
      <c r="U30">
        <v>0.16400000000000001</v>
      </c>
    </row>
    <row r="31" spans="1:21" x14ac:dyDescent="0.25">
      <c r="A31" t="str">
        <f t="shared" si="0"/>
        <v>8-36 or 0.164-36 UNF CLASS 3</v>
      </c>
      <c r="B31" s="2" t="s">
        <v>167</v>
      </c>
      <c r="C31" t="s">
        <v>52</v>
      </c>
      <c r="D31" t="s">
        <v>101</v>
      </c>
      <c r="E31" t="s">
        <v>54</v>
      </c>
      <c r="F31" t="s">
        <v>57</v>
      </c>
      <c r="G31">
        <v>0</v>
      </c>
      <c r="H31">
        <v>0.16400000000000001</v>
      </c>
      <c r="I31">
        <v>0.1585</v>
      </c>
      <c r="J31">
        <v>0</v>
      </c>
      <c r="K31">
        <v>0.14599999999999999</v>
      </c>
      <c r="L31">
        <v>0.1439</v>
      </c>
      <c r="M31">
        <v>2.0999999999999999E-3</v>
      </c>
      <c r="N31">
        <v>0.13089999999999999</v>
      </c>
      <c r="O31" t="s">
        <v>58</v>
      </c>
      <c r="P31">
        <v>0.13400000000000001</v>
      </c>
      <c r="Q31">
        <v>0.1416</v>
      </c>
      <c r="R31">
        <v>0.14599999999999999</v>
      </c>
      <c r="S31">
        <v>0.1487</v>
      </c>
      <c r="T31">
        <v>2.7000000000000001E-3</v>
      </c>
      <c r="U31">
        <v>0.16400000000000001</v>
      </c>
    </row>
    <row r="32" spans="1:21" x14ac:dyDescent="0.25">
      <c r="A32" t="str">
        <f t="shared" si="0"/>
        <v>10-24 or 0.190-24 UNC CLASS 2</v>
      </c>
      <c r="B32" s="3" t="s">
        <v>168</v>
      </c>
      <c r="C32" t="s">
        <v>52</v>
      </c>
      <c r="D32" t="s">
        <v>102</v>
      </c>
      <c r="E32" t="s">
        <v>61</v>
      </c>
      <c r="F32" t="s">
        <v>55</v>
      </c>
      <c r="G32">
        <v>1E-3</v>
      </c>
      <c r="H32">
        <v>0.189</v>
      </c>
      <c r="I32">
        <v>0.18179999999999999</v>
      </c>
      <c r="J32">
        <v>0</v>
      </c>
      <c r="K32">
        <v>0.16189999999999999</v>
      </c>
      <c r="L32">
        <v>0.15859999999999999</v>
      </c>
      <c r="M32">
        <v>3.3189999999999999E-3</v>
      </c>
      <c r="N32">
        <v>0.1394</v>
      </c>
      <c r="O32" t="s">
        <v>56</v>
      </c>
      <c r="P32">
        <v>0.14499999999999999</v>
      </c>
      <c r="Q32">
        <v>0.155</v>
      </c>
      <c r="R32">
        <v>0.16289999999999999</v>
      </c>
      <c r="S32">
        <v>0.16719999999999999</v>
      </c>
      <c r="T32">
        <v>4.3E-3</v>
      </c>
      <c r="U32">
        <v>0.19</v>
      </c>
    </row>
    <row r="33" spans="1:21" x14ac:dyDescent="0.25">
      <c r="A33" t="str">
        <f t="shared" si="0"/>
        <v>10-24 or 0.190-24 UNC CLASS 3</v>
      </c>
      <c r="B33" s="3" t="s">
        <v>168</v>
      </c>
      <c r="C33" t="s">
        <v>52</v>
      </c>
      <c r="D33" t="s">
        <v>102</v>
      </c>
      <c r="E33" t="s">
        <v>61</v>
      </c>
      <c r="F33" t="s">
        <v>57</v>
      </c>
      <c r="G33">
        <v>0</v>
      </c>
      <c r="H33">
        <v>0.19</v>
      </c>
      <c r="I33">
        <v>0.18279999999999999</v>
      </c>
      <c r="J33">
        <v>0</v>
      </c>
      <c r="K33">
        <v>0.16289999999999999</v>
      </c>
      <c r="L33">
        <v>0.16039999999999999</v>
      </c>
      <c r="M33">
        <v>2.5000000000000001E-3</v>
      </c>
      <c r="N33">
        <v>0.1404</v>
      </c>
      <c r="O33" t="s">
        <v>58</v>
      </c>
      <c r="P33">
        <v>0.14499999999999999</v>
      </c>
      <c r="Q33">
        <v>0.1555</v>
      </c>
      <c r="R33">
        <v>0.16289999999999999</v>
      </c>
      <c r="S33">
        <v>0.1661</v>
      </c>
      <c r="T33">
        <v>3.2000000000000002E-3</v>
      </c>
      <c r="U33">
        <v>0.19</v>
      </c>
    </row>
    <row r="34" spans="1:21" x14ac:dyDescent="0.25">
      <c r="A34" t="str">
        <f t="shared" si="0"/>
        <v>10-32 or 0.190-32 UNF CLASS 2</v>
      </c>
      <c r="B34" s="2" t="s">
        <v>163</v>
      </c>
      <c r="C34" t="s">
        <v>52</v>
      </c>
      <c r="D34" t="s">
        <v>103</v>
      </c>
      <c r="E34" t="s">
        <v>54</v>
      </c>
      <c r="F34" t="s">
        <v>55</v>
      </c>
      <c r="G34">
        <v>8.9999999999999998E-4</v>
      </c>
      <c r="H34">
        <v>0.18909999999999999</v>
      </c>
      <c r="I34">
        <v>0.18310000000000001</v>
      </c>
      <c r="J34">
        <v>0</v>
      </c>
      <c r="K34">
        <v>0.16880000000000001</v>
      </c>
      <c r="L34">
        <v>0.1658</v>
      </c>
      <c r="M34">
        <v>3.0040000000000002E-3</v>
      </c>
      <c r="N34">
        <v>0.15190000000000001</v>
      </c>
      <c r="O34" t="s">
        <v>56</v>
      </c>
      <c r="P34">
        <v>0.156</v>
      </c>
      <c r="Q34">
        <v>0.16400000000000001</v>
      </c>
      <c r="R34">
        <v>0.16969999999999999</v>
      </c>
      <c r="S34">
        <v>0.1736</v>
      </c>
      <c r="T34">
        <v>3.8999999999999998E-3</v>
      </c>
      <c r="U34">
        <v>0.19</v>
      </c>
    </row>
    <row r="35" spans="1:21" x14ac:dyDescent="0.25">
      <c r="A35" t="str">
        <f t="shared" si="0"/>
        <v>10-32 or 0.190-32 UNF CLASS 3</v>
      </c>
      <c r="B35" s="2" t="s">
        <v>163</v>
      </c>
      <c r="C35" t="s">
        <v>52</v>
      </c>
      <c r="D35" t="s">
        <v>103</v>
      </c>
      <c r="E35" t="s">
        <v>54</v>
      </c>
      <c r="F35" t="s">
        <v>57</v>
      </c>
      <c r="G35">
        <v>0</v>
      </c>
      <c r="H35">
        <v>0.19</v>
      </c>
      <c r="I35">
        <v>0.184</v>
      </c>
      <c r="J35">
        <v>0</v>
      </c>
      <c r="K35">
        <v>0.16969999999999999</v>
      </c>
      <c r="L35">
        <v>0.16739999999999999</v>
      </c>
      <c r="M35">
        <v>2.3E-3</v>
      </c>
      <c r="N35">
        <v>0.15279999999999999</v>
      </c>
      <c r="O35" t="s">
        <v>58</v>
      </c>
      <c r="P35">
        <v>0.156</v>
      </c>
      <c r="Q35">
        <v>0.1641</v>
      </c>
      <c r="R35">
        <v>0.16969999999999999</v>
      </c>
      <c r="S35">
        <v>0.1726</v>
      </c>
      <c r="T35">
        <v>2.8999999999999998E-3</v>
      </c>
      <c r="U35">
        <v>0.19</v>
      </c>
    </row>
    <row r="36" spans="1:21" x14ac:dyDescent="0.25">
      <c r="A36" t="str">
        <f t="shared" si="0"/>
        <v>12-24 or 0.216-24 UNC CLASS 2</v>
      </c>
      <c r="B36" s="3" t="s">
        <v>164</v>
      </c>
      <c r="C36" t="s">
        <v>52</v>
      </c>
      <c r="D36" t="s">
        <v>104</v>
      </c>
      <c r="E36" t="s">
        <v>61</v>
      </c>
      <c r="F36" t="s">
        <v>55</v>
      </c>
      <c r="G36">
        <v>1E-3</v>
      </c>
      <c r="H36">
        <v>0.215</v>
      </c>
      <c r="I36">
        <v>0.20780000000000001</v>
      </c>
      <c r="J36">
        <v>0</v>
      </c>
      <c r="K36">
        <v>0.18790000000000001</v>
      </c>
      <c r="L36">
        <v>0.1845</v>
      </c>
      <c r="M36">
        <v>3.3999999999999998E-3</v>
      </c>
      <c r="N36">
        <v>0.16539999999999999</v>
      </c>
      <c r="O36" t="s">
        <v>56</v>
      </c>
      <c r="P36">
        <v>0.17100000000000001</v>
      </c>
      <c r="Q36">
        <v>0.18099999999999999</v>
      </c>
      <c r="R36">
        <v>0.18890000000000001</v>
      </c>
      <c r="S36">
        <v>0.1933</v>
      </c>
      <c r="T36">
        <v>4.4000000000000003E-3</v>
      </c>
      <c r="U36">
        <v>0.216</v>
      </c>
    </row>
    <row r="37" spans="1:21" x14ac:dyDescent="0.25">
      <c r="A37" t="str">
        <f t="shared" si="0"/>
        <v>12-24 or 0.216-24 UNC CLASS 3</v>
      </c>
      <c r="B37" s="3" t="s">
        <v>164</v>
      </c>
      <c r="C37" t="s">
        <v>52</v>
      </c>
      <c r="D37" t="s">
        <v>104</v>
      </c>
      <c r="E37" t="s">
        <v>61</v>
      </c>
      <c r="F37" t="s">
        <v>57</v>
      </c>
      <c r="G37">
        <v>0</v>
      </c>
      <c r="H37">
        <v>0.216</v>
      </c>
      <c r="I37">
        <v>0.20880000000000001</v>
      </c>
      <c r="J37">
        <v>0</v>
      </c>
      <c r="K37">
        <v>0.18890000000000001</v>
      </c>
      <c r="L37">
        <v>0.18629999999999999</v>
      </c>
      <c r="M37">
        <v>2.5999999999999999E-3</v>
      </c>
      <c r="N37">
        <v>0.16639999999999999</v>
      </c>
      <c r="O37" t="s">
        <v>58</v>
      </c>
      <c r="P37">
        <v>0.17100000000000001</v>
      </c>
      <c r="Q37">
        <v>0.1807</v>
      </c>
      <c r="R37">
        <v>0.18890000000000001</v>
      </c>
      <c r="S37">
        <v>0.19220000000000001</v>
      </c>
      <c r="T37">
        <v>3.3E-3</v>
      </c>
      <c r="U37">
        <v>0.216</v>
      </c>
    </row>
    <row r="38" spans="1:21" x14ac:dyDescent="0.25">
      <c r="A38" t="str">
        <f t="shared" si="0"/>
        <v>12-28 or 0.216-28 UNF CLASS 2</v>
      </c>
      <c r="B38" s="3" t="s">
        <v>165</v>
      </c>
      <c r="C38" t="s">
        <v>52</v>
      </c>
      <c r="D38" t="s">
        <v>105</v>
      </c>
      <c r="E38" t="s">
        <v>54</v>
      </c>
      <c r="F38" t="s">
        <v>55</v>
      </c>
      <c r="G38">
        <v>1E-3</v>
      </c>
      <c r="H38">
        <v>0.215</v>
      </c>
      <c r="I38">
        <v>0.20849999999999999</v>
      </c>
      <c r="J38">
        <v>0</v>
      </c>
      <c r="K38">
        <v>0.1918</v>
      </c>
      <c r="L38">
        <v>0.18859999999999999</v>
      </c>
      <c r="M38">
        <v>3.2239999999999999E-3</v>
      </c>
      <c r="N38">
        <v>0.17249999999999999</v>
      </c>
      <c r="O38" t="s">
        <v>56</v>
      </c>
      <c r="P38">
        <v>0.17699999999999999</v>
      </c>
      <c r="Q38">
        <v>0.186</v>
      </c>
      <c r="R38">
        <v>0.1928</v>
      </c>
      <c r="S38">
        <v>0.19700000000000001</v>
      </c>
      <c r="T38">
        <v>4.1999999999999997E-3</v>
      </c>
      <c r="U38">
        <v>0.216</v>
      </c>
    </row>
    <row r="39" spans="1:21" x14ac:dyDescent="0.25">
      <c r="A39" t="str">
        <f t="shared" si="0"/>
        <v>12-28 or 0.216-28 UNF CLASS 3</v>
      </c>
      <c r="B39" s="3" t="s">
        <v>165</v>
      </c>
      <c r="C39" t="s">
        <v>52</v>
      </c>
      <c r="D39" t="s">
        <v>105</v>
      </c>
      <c r="E39" t="s">
        <v>54</v>
      </c>
      <c r="F39" t="s">
        <v>57</v>
      </c>
      <c r="G39">
        <v>0</v>
      </c>
      <c r="H39">
        <v>0.216</v>
      </c>
      <c r="I39">
        <v>0.20949999999999999</v>
      </c>
      <c r="J39">
        <v>0</v>
      </c>
      <c r="K39">
        <v>0.1928</v>
      </c>
      <c r="L39">
        <v>0.19040000000000001</v>
      </c>
      <c r="M39">
        <v>2.3999999999999998E-3</v>
      </c>
      <c r="N39">
        <v>0.17349999999999999</v>
      </c>
      <c r="O39" t="s">
        <v>58</v>
      </c>
      <c r="P39">
        <v>0.17699999999999999</v>
      </c>
      <c r="Q39">
        <v>0.1857</v>
      </c>
      <c r="R39">
        <v>0.1928</v>
      </c>
      <c r="S39">
        <v>0.19589999999999999</v>
      </c>
      <c r="T39">
        <v>3.0999999999999999E-3</v>
      </c>
      <c r="U39">
        <v>0.216</v>
      </c>
    </row>
    <row r="40" spans="1:21" x14ac:dyDescent="0.25">
      <c r="A40" t="str">
        <f t="shared" si="0"/>
        <v>12-32 or 0.216-32 UNEF CLASS 2</v>
      </c>
      <c r="B40" s="2" t="s">
        <v>169</v>
      </c>
      <c r="C40" t="s">
        <v>52</v>
      </c>
      <c r="D40" t="s">
        <v>106</v>
      </c>
      <c r="E40" t="s">
        <v>95</v>
      </c>
      <c r="F40" t="s">
        <v>55</v>
      </c>
      <c r="G40">
        <v>1E-3</v>
      </c>
      <c r="H40">
        <v>0.215</v>
      </c>
      <c r="I40">
        <v>0.20899999999999999</v>
      </c>
      <c r="J40">
        <v>0</v>
      </c>
      <c r="K40">
        <v>0.19470000000000001</v>
      </c>
      <c r="L40">
        <v>0.1915</v>
      </c>
      <c r="M40">
        <v>3.1840000000000002E-3</v>
      </c>
      <c r="N40">
        <v>0.17780000000000001</v>
      </c>
      <c r="O40" t="s">
        <v>56</v>
      </c>
      <c r="P40">
        <v>0.182</v>
      </c>
      <c r="Q40">
        <v>0.19</v>
      </c>
      <c r="R40">
        <v>0.19570000000000001</v>
      </c>
      <c r="S40">
        <v>0.19980000000000001</v>
      </c>
      <c r="T40">
        <v>4.1000000000000003E-3</v>
      </c>
      <c r="U40">
        <v>0.216</v>
      </c>
    </row>
    <row r="41" spans="1:21" x14ac:dyDescent="0.25">
      <c r="A41" t="str">
        <f t="shared" si="0"/>
        <v>12-32 or 0.216-32 UNEF CLASS 3</v>
      </c>
      <c r="B41" s="2" t="s">
        <v>169</v>
      </c>
      <c r="C41" t="s">
        <v>52</v>
      </c>
      <c r="D41" t="s">
        <v>106</v>
      </c>
      <c r="E41" t="s">
        <v>95</v>
      </c>
      <c r="F41" t="s">
        <v>57</v>
      </c>
      <c r="G41">
        <v>0</v>
      </c>
      <c r="H41">
        <v>0.216</v>
      </c>
      <c r="I41">
        <v>0.21</v>
      </c>
      <c r="J41">
        <v>0</v>
      </c>
      <c r="K41">
        <v>0.19570000000000001</v>
      </c>
      <c r="L41">
        <v>0.1933</v>
      </c>
      <c r="M41">
        <v>2.3999999999999998E-3</v>
      </c>
      <c r="N41">
        <v>0.17879999999999999</v>
      </c>
      <c r="O41" t="s">
        <v>58</v>
      </c>
      <c r="P41">
        <v>0.182</v>
      </c>
      <c r="Q41">
        <v>0.1895</v>
      </c>
      <c r="R41">
        <v>0.19570000000000001</v>
      </c>
      <c r="S41">
        <v>0.1988</v>
      </c>
      <c r="T41">
        <v>3.0999999999999999E-3</v>
      </c>
      <c r="U41">
        <v>0.216</v>
      </c>
    </row>
    <row r="42" spans="1:21" x14ac:dyDescent="0.25">
      <c r="A42" t="str">
        <f t="shared" si="0"/>
        <v>1⁄4-20 or 0.2500-20 UNC CLASS 1</v>
      </c>
      <c r="B42" t="s">
        <v>107</v>
      </c>
      <c r="C42" t="s">
        <v>52</v>
      </c>
      <c r="D42" t="s">
        <v>108</v>
      </c>
      <c r="E42" t="s">
        <v>61</v>
      </c>
      <c r="F42" t="s">
        <v>96</v>
      </c>
      <c r="G42">
        <v>1.1000000000000001E-3</v>
      </c>
      <c r="H42">
        <v>0.24890000000000001</v>
      </c>
      <c r="I42">
        <v>0.23669999999999999</v>
      </c>
      <c r="J42">
        <v>0</v>
      </c>
      <c r="K42">
        <v>0.21640000000000001</v>
      </c>
      <c r="L42">
        <v>0.21079999999999999</v>
      </c>
      <c r="M42">
        <v>5.5999999999999999E-3</v>
      </c>
      <c r="N42">
        <v>0.18940000000000001</v>
      </c>
      <c r="O42" t="s">
        <v>97</v>
      </c>
      <c r="P42">
        <v>0.19600000000000001</v>
      </c>
      <c r="Q42">
        <v>0.20699999999999999</v>
      </c>
      <c r="R42">
        <v>0.2175</v>
      </c>
      <c r="S42">
        <v>0.2248</v>
      </c>
      <c r="T42">
        <v>7.3000000000000001E-3</v>
      </c>
      <c r="U42">
        <v>0.25</v>
      </c>
    </row>
    <row r="43" spans="1:21" x14ac:dyDescent="0.25">
      <c r="A43" t="str">
        <f t="shared" si="0"/>
        <v>1⁄4-20 or 0.2500-20 UNC CLASS 2</v>
      </c>
      <c r="B43" t="s">
        <v>107</v>
      </c>
      <c r="C43" t="s">
        <v>52</v>
      </c>
      <c r="D43" t="s">
        <v>108</v>
      </c>
      <c r="E43" t="s">
        <v>61</v>
      </c>
      <c r="F43" t="s">
        <v>55</v>
      </c>
      <c r="G43">
        <v>1.1000000000000001E-3</v>
      </c>
      <c r="H43">
        <v>0.24890000000000001</v>
      </c>
      <c r="I43">
        <v>0.24079999999999999</v>
      </c>
      <c r="J43">
        <v>0.23669999999999999</v>
      </c>
      <c r="K43">
        <v>0.21640000000000001</v>
      </c>
      <c r="L43">
        <v>0.2127</v>
      </c>
      <c r="M43">
        <v>3.7309999999999999E-3</v>
      </c>
      <c r="N43">
        <v>0.18940000000000001</v>
      </c>
      <c r="O43" t="s">
        <v>56</v>
      </c>
      <c r="P43">
        <v>0.19600000000000001</v>
      </c>
      <c r="Q43">
        <v>0.20699999999999999</v>
      </c>
      <c r="R43">
        <v>0.2175</v>
      </c>
      <c r="S43">
        <v>0.22239999999999999</v>
      </c>
      <c r="T43">
        <v>4.8999999999999998E-3</v>
      </c>
      <c r="U43">
        <v>0.25</v>
      </c>
    </row>
    <row r="44" spans="1:21" x14ac:dyDescent="0.25">
      <c r="A44" t="str">
        <f t="shared" si="0"/>
        <v>1⁄4-20 or 0.2500-20 UNC CLASS 3</v>
      </c>
      <c r="B44" t="s">
        <v>107</v>
      </c>
      <c r="C44" t="s">
        <v>52</v>
      </c>
      <c r="D44" t="s">
        <v>108</v>
      </c>
      <c r="E44" t="s">
        <v>61</v>
      </c>
      <c r="F44" t="s">
        <v>57</v>
      </c>
      <c r="G44">
        <v>0</v>
      </c>
      <c r="H44">
        <v>0.25</v>
      </c>
      <c r="I44">
        <v>0.2419</v>
      </c>
      <c r="J44">
        <v>0</v>
      </c>
      <c r="K44">
        <v>0.2175</v>
      </c>
      <c r="L44">
        <v>0.2147</v>
      </c>
      <c r="M44">
        <v>2.8E-3</v>
      </c>
      <c r="N44">
        <v>0.1905</v>
      </c>
      <c r="O44" t="s">
        <v>58</v>
      </c>
      <c r="P44">
        <v>0.19600000000000001</v>
      </c>
      <c r="Q44">
        <v>0.20669999999999999</v>
      </c>
      <c r="R44">
        <v>0.2175</v>
      </c>
      <c r="S44">
        <v>0.22109999999999999</v>
      </c>
      <c r="T44">
        <v>3.5999999999999999E-3</v>
      </c>
      <c r="U44">
        <v>0.25</v>
      </c>
    </row>
    <row r="45" spans="1:21" x14ac:dyDescent="0.25">
      <c r="A45" t="str">
        <f t="shared" si="0"/>
        <v>1⁄4-28 or 0.2500-28 UNF CLASS 1</v>
      </c>
      <c r="B45" t="s">
        <v>109</v>
      </c>
      <c r="C45" t="s">
        <v>52</v>
      </c>
      <c r="D45" t="s">
        <v>110</v>
      </c>
      <c r="E45" t="s">
        <v>54</v>
      </c>
      <c r="F45" t="s">
        <v>96</v>
      </c>
      <c r="G45">
        <v>1E-3</v>
      </c>
      <c r="H45">
        <v>0.249</v>
      </c>
      <c r="I45">
        <v>0.2392</v>
      </c>
      <c r="J45">
        <v>0</v>
      </c>
      <c r="K45">
        <v>0.2258</v>
      </c>
      <c r="L45">
        <v>0.2208</v>
      </c>
      <c r="M45">
        <v>5.0000000000000001E-3</v>
      </c>
      <c r="N45">
        <v>0.20649999999999999</v>
      </c>
      <c r="O45" t="s">
        <v>97</v>
      </c>
      <c r="P45">
        <v>0.21099999999999999</v>
      </c>
      <c r="Q45">
        <v>0.22</v>
      </c>
      <c r="R45">
        <v>0.2268</v>
      </c>
      <c r="S45">
        <v>0.23330000000000001</v>
      </c>
      <c r="T45">
        <v>6.4999999999999997E-3</v>
      </c>
      <c r="U45">
        <v>0.25</v>
      </c>
    </row>
    <row r="46" spans="1:21" x14ac:dyDescent="0.25">
      <c r="A46" t="str">
        <f t="shared" si="0"/>
        <v>1⁄4-28 or 0.2500-28 UNF CLASS 2</v>
      </c>
      <c r="B46" t="s">
        <v>109</v>
      </c>
      <c r="C46" t="s">
        <v>52</v>
      </c>
      <c r="D46" t="s">
        <v>110</v>
      </c>
      <c r="E46" t="s">
        <v>54</v>
      </c>
      <c r="F46" t="s">
        <v>55</v>
      </c>
      <c r="G46">
        <v>1E-3</v>
      </c>
      <c r="H46">
        <v>0.249</v>
      </c>
      <c r="I46">
        <v>0.24249999999999999</v>
      </c>
      <c r="J46">
        <v>0</v>
      </c>
      <c r="K46">
        <v>0.2258</v>
      </c>
      <c r="L46">
        <v>0.2225</v>
      </c>
      <c r="M46">
        <v>3.3219999999999999E-3</v>
      </c>
      <c r="N46">
        <v>0.20649999999999999</v>
      </c>
      <c r="O46" t="s">
        <v>56</v>
      </c>
      <c r="P46">
        <v>0.21099999999999999</v>
      </c>
      <c r="Q46">
        <v>0.22</v>
      </c>
      <c r="R46">
        <v>0.2268</v>
      </c>
      <c r="S46">
        <v>0.2311</v>
      </c>
      <c r="T46">
        <v>4.3E-3</v>
      </c>
      <c r="U46">
        <v>0.25</v>
      </c>
    </row>
    <row r="47" spans="1:21" x14ac:dyDescent="0.25">
      <c r="A47" t="str">
        <f t="shared" si="0"/>
        <v>1⁄4-28 or 0.2500-28 UNF CLASS 3</v>
      </c>
      <c r="B47" t="s">
        <v>109</v>
      </c>
      <c r="C47" t="s">
        <v>52</v>
      </c>
      <c r="D47" t="s">
        <v>110</v>
      </c>
      <c r="E47" t="s">
        <v>54</v>
      </c>
      <c r="F47" t="s">
        <v>57</v>
      </c>
      <c r="G47">
        <v>0</v>
      </c>
      <c r="H47">
        <v>0.25</v>
      </c>
      <c r="I47">
        <v>0.24349999999999999</v>
      </c>
      <c r="J47">
        <v>0</v>
      </c>
      <c r="K47">
        <v>0.2268</v>
      </c>
      <c r="L47">
        <v>0.2243</v>
      </c>
      <c r="M47">
        <v>2.5000000000000001E-3</v>
      </c>
      <c r="N47">
        <v>0.20749999999999999</v>
      </c>
      <c r="O47" t="s">
        <v>58</v>
      </c>
      <c r="P47">
        <v>0.21099999999999999</v>
      </c>
      <c r="Q47">
        <v>0.219</v>
      </c>
      <c r="R47">
        <v>0.2268</v>
      </c>
      <c r="S47">
        <v>0.23</v>
      </c>
      <c r="T47">
        <v>3.2000000000000002E-3</v>
      </c>
      <c r="U47">
        <v>0.25</v>
      </c>
    </row>
    <row r="48" spans="1:21" x14ac:dyDescent="0.25">
      <c r="A48" t="str">
        <f t="shared" si="0"/>
        <v>1⁄4-32 or 0.2500-32 UNEF CLASS 2</v>
      </c>
      <c r="B48" t="s">
        <v>111</v>
      </c>
      <c r="C48" t="s">
        <v>52</v>
      </c>
      <c r="D48" t="s">
        <v>112</v>
      </c>
      <c r="E48" t="s">
        <v>95</v>
      </c>
      <c r="F48" t="s">
        <v>55</v>
      </c>
      <c r="G48">
        <v>1E-3</v>
      </c>
      <c r="H48">
        <v>0.249</v>
      </c>
      <c r="I48">
        <v>0.24299999999999999</v>
      </c>
      <c r="J48">
        <v>0</v>
      </c>
      <c r="K48">
        <v>0.22869999999999999</v>
      </c>
      <c r="L48">
        <v>0.22550000000000001</v>
      </c>
      <c r="M48">
        <v>3.2290000000000001E-3</v>
      </c>
      <c r="N48">
        <v>0.21179999999999999</v>
      </c>
      <c r="O48" t="s">
        <v>56</v>
      </c>
      <c r="P48">
        <v>0.216</v>
      </c>
      <c r="Q48">
        <v>0.224</v>
      </c>
      <c r="R48">
        <v>0.22969999999999999</v>
      </c>
      <c r="S48">
        <v>0.2339</v>
      </c>
      <c r="T48">
        <v>4.1999999999999997E-3</v>
      </c>
      <c r="U48">
        <v>0.25</v>
      </c>
    </row>
    <row r="49" spans="1:21" x14ac:dyDescent="0.25">
      <c r="A49" t="str">
        <f t="shared" si="0"/>
        <v>1⁄4-32 or 0.2500-32 UNEF CLASS 3</v>
      </c>
      <c r="B49" t="s">
        <v>111</v>
      </c>
      <c r="C49" t="s">
        <v>52</v>
      </c>
      <c r="D49" t="s">
        <v>112</v>
      </c>
      <c r="E49" t="s">
        <v>95</v>
      </c>
      <c r="F49" t="s">
        <v>57</v>
      </c>
      <c r="G49">
        <v>0</v>
      </c>
      <c r="H49">
        <v>0.25</v>
      </c>
      <c r="I49">
        <v>0.24399999999999999</v>
      </c>
      <c r="J49">
        <v>0</v>
      </c>
      <c r="K49">
        <v>0.22969999999999999</v>
      </c>
      <c r="L49">
        <v>0.2273</v>
      </c>
      <c r="M49">
        <v>2.3999999999999998E-3</v>
      </c>
      <c r="N49">
        <v>0.21279999999999999</v>
      </c>
      <c r="O49" t="s">
        <v>58</v>
      </c>
      <c r="P49">
        <v>0.216</v>
      </c>
      <c r="Q49">
        <v>0.22289999999999999</v>
      </c>
      <c r="R49">
        <v>0.22969999999999999</v>
      </c>
      <c r="S49">
        <v>0.23280000000000001</v>
      </c>
      <c r="T49">
        <v>3.0999999999999999E-3</v>
      </c>
      <c r="U49">
        <v>0.25</v>
      </c>
    </row>
    <row r="50" spans="1:21" x14ac:dyDescent="0.25">
      <c r="A50" t="str">
        <f t="shared" si="0"/>
        <v>5⁄16-18 or 0.3125-18 UNC CLASS 1</v>
      </c>
      <c r="B50" t="s">
        <v>113</v>
      </c>
      <c r="C50" t="s">
        <v>52</v>
      </c>
      <c r="D50" t="s">
        <v>114</v>
      </c>
      <c r="E50" t="s">
        <v>61</v>
      </c>
      <c r="F50" t="s">
        <v>96</v>
      </c>
      <c r="G50">
        <v>1.1999999999999999E-3</v>
      </c>
      <c r="H50">
        <v>0.31130000000000002</v>
      </c>
      <c r="I50">
        <v>0.29820000000000002</v>
      </c>
      <c r="J50">
        <v>0</v>
      </c>
      <c r="K50">
        <v>0.2752</v>
      </c>
      <c r="L50">
        <v>0.26910000000000001</v>
      </c>
      <c r="M50">
        <v>6.1000000000000004E-3</v>
      </c>
      <c r="N50">
        <v>0.24510000000000001</v>
      </c>
      <c r="O50" t="s">
        <v>97</v>
      </c>
      <c r="P50">
        <v>0.252</v>
      </c>
      <c r="Q50">
        <v>0.26500000000000001</v>
      </c>
      <c r="R50">
        <v>0.27639999999999998</v>
      </c>
      <c r="S50">
        <v>0.2843</v>
      </c>
      <c r="T50">
        <v>7.9000000000000008E-3</v>
      </c>
      <c r="U50">
        <v>0.3125</v>
      </c>
    </row>
    <row r="51" spans="1:21" x14ac:dyDescent="0.25">
      <c r="A51" t="str">
        <f t="shared" si="0"/>
        <v>5⁄16-18 or 0.3125-18 UNC CLASS 2</v>
      </c>
      <c r="B51" t="s">
        <v>113</v>
      </c>
      <c r="C51" t="s">
        <v>52</v>
      </c>
      <c r="D51" t="s">
        <v>114</v>
      </c>
      <c r="E51" t="s">
        <v>61</v>
      </c>
      <c r="F51" t="s">
        <v>55</v>
      </c>
      <c r="G51">
        <v>1.1999999999999999E-3</v>
      </c>
      <c r="H51">
        <v>0.31130000000000002</v>
      </c>
      <c r="I51">
        <v>0.30259999999999998</v>
      </c>
      <c r="J51">
        <v>0.29820000000000002</v>
      </c>
      <c r="K51">
        <v>0.2752</v>
      </c>
      <c r="L51">
        <v>0.2712</v>
      </c>
      <c r="M51">
        <v>4.0410000000000003E-3</v>
      </c>
      <c r="N51">
        <v>0.24510000000000001</v>
      </c>
      <c r="O51" t="s">
        <v>56</v>
      </c>
      <c r="P51">
        <v>0.252</v>
      </c>
      <c r="Q51">
        <v>0.26500000000000001</v>
      </c>
      <c r="R51">
        <v>0.27639999999999998</v>
      </c>
      <c r="S51">
        <v>0.28170000000000001</v>
      </c>
      <c r="T51">
        <v>5.3E-3</v>
      </c>
      <c r="U51">
        <v>0.3125</v>
      </c>
    </row>
    <row r="52" spans="1:21" x14ac:dyDescent="0.25">
      <c r="A52" t="str">
        <f t="shared" si="0"/>
        <v>5⁄16-18 or 0.3125-18 UNC CLASS 3</v>
      </c>
      <c r="B52" t="s">
        <v>113</v>
      </c>
      <c r="C52" t="s">
        <v>52</v>
      </c>
      <c r="D52" t="s">
        <v>114</v>
      </c>
      <c r="E52" t="s">
        <v>61</v>
      </c>
      <c r="F52" t="s">
        <v>57</v>
      </c>
      <c r="G52">
        <v>0</v>
      </c>
      <c r="H52">
        <v>0.3125</v>
      </c>
      <c r="I52">
        <v>0.30380000000000001</v>
      </c>
      <c r="J52">
        <v>0</v>
      </c>
      <c r="K52">
        <v>0.27639999999999998</v>
      </c>
      <c r="L52">
        <v>0.27339999999999998</v>
      </c>
      <c r="M52">
        <v>3.0000000000000001E-3</v>
      </c>
      <c r="N52">
        <v>0.24629999999999999</v>
      </c>
      <c r="O52" t="s">
        <v>58</v>
      </c>
      <c r="P52">
        <v>0.252</v>
      </c>
      <c r="Q52">
        <v>0.26300000000000001</v>
      </c>
      <c r="R52">
        <v>0.27639999999999998</v>
      </c>
      <c r="S52">
        <v>0.28029999999999999</v>
      </c>
      <c r="T52">
        <v>3.8999999999999998E-3</v>
      </c>
      <c r="U52">
        <v>0.3125</v>
      </c>
    </row>
    <row r="53" spans="1:21" x14ac:dyDescent="0.25">
      <c r="A53" t="str">
        <f t="shared" si="0"/>
        <v>5⁄16-20 or 0.3125-20 UN CLASS 2</v>
      </c>
      <c r="B53" t="s">
        <v>115</v>
      </c>
      <c r="C53" t="s">
        <v>52</v>
      </c>
      <c r="D53" t="s">
        <v>116</v>
      </c>
      <c r="E53" t="s">
        <v>98</v>
      </c>
      <c r="F53" t="s">
        <v>55</v>
      </c>
      <c r="G53">
        <v>1.1999999999999999E-3</v>
      </c>
      <c r="H53">
        <v>0.31130000000000002</v>
      </c>
      <c r="I53">
        <v>0.30320000000000003</v>
      </c>
      <c r="J53">
        <v>0</v>
      </c>
      <c r="K53">
        <v>0.27879999999999999</v>
      </c>
      <c r="L53">
        <v>0.2747</v>
      </c>
      <c r="M53">
        <v>4.0600000000000002E-3</v>
      </c>
      <c r="N53">
        <v>0.25180000000000002</v>
      </c>
      <c r="O53" t="s">
        <v>56</v>
      </c>
      <c r="P53">
        <v>0.25800000000000001</v>
      </c>
      <c r="Q53">
        <v>0.27</v>
      </c>
      <c r="R53">
        <v>0.28000000000000003</v>
      </c>
      <c r="S53">
        <v>0.2853</v>
      </c>
      <c r="T53">
        <v>5.3E-3</v>
      </c>
      <c r="U53">
        <v>0.3125</v>
      </c>
    </row>
    <row r="54" spans="1:21" x14ac:dyDescent="0.25">
      <c r="A54" t="str">
        <f t="shared" si="0"/>
        <v>5⁄16-20 or 0.3125-20 UN CLASS 3</v>
      </c>
      <c r="B54" t="s">
        <v>115</v>
      </c>
      <c r="C54" t="s">
        <v>52</v>
      </c>
      <c r="D54" t="s">
        <v>116</v>
      </c>
      <c r="E54" t="s">
        <v>98</v>
      </c>
      <c r="F54" t="s">
        <v>57</v>
      </c>
      <c r="G54">
        <v>0</v>
      </c>
      <c r="H54">
        <v>0.3125</v>
      </c>
      <c r="I54">
        <v>0.3044</v>
      </c>
      <c r="J54">
        <v>0</v>
      </c>
      <c r="K54">
        <v>0.28000000000000003</v>
      </c>
      <c r="L54">
        <v>0.27700000000000002</v>
      </c>
      <c r="M54">
        <v>3.0000000000000001E-3</v>
      </c>
      <c r="N54">
        <v>0.253</v>
      </c>
      <c r="O54" t="s">
        <v>58</v>
      </c>
      <c r="P54">
        <v>0.25800000000000001</v>
      </c>
      <c r="Q54">
        <v>0.26800000000000002</v>
      </c>
      <c r="R54">
        <v>0.28000000000000003</v>
      </c>
      <c r="S54">
        <v>0.28399999999999997</v>
      </c>
      <c r="T54">
        <v>4.0000000000000001E-3</v>
      </c>
      <c r="U54">
        <v>0.3125</v>
      </c>
    </row>
    <row r="55" spans="1:21" x14ac:dyDescent="0.25">
      <c r="A55" t="str">
        <f t="shared" si="0"/>
        <v>5⁄16-24 or 0.3125-24 UNF CLASS 1</v>
      </c>
      <c r="B55" t="s">
        <v>117</v>
      </c>
      <c r="C55" t="s">
        <v>52</v>
      </c>
      <c r="D55" t="s">
        <v>118</v>
      </c>
      <c r="E55" t="s">
        <v>54</v>
      </c>
      <c r="F55" t="s">
        <v>96</v>
      </c>
      <c r="G55">
        <v>1.1000000000000001E-3</v>
      </c>
      <c r="H55">
        <v>0.31140000000000001</v>
      </c>
      <c r="I55">
        <v>0.30059999999999998</v>
      </c>
      <c r="J55">
        <v>0</v>
      </c>
      <c r="K55">
        <v>0.2843</v>
      </c>
      <c r="L55">
        <v>0.27879999999999999</v>
      </c>
      <c r="M55">
        <v>5.4999999999999997E-3</v>
      </c>
      <c r="N55">
        <v>0.26179999999999998</v>
      </c>
      <c r="O55" t="s">
        <v>97</v>
      </c>
      <c r="P55">
        <v>0.26700000000000002</v>
      </c>
      <c r="Q55">
        <v>0.27700000000000002</v>
      </c>
      <c r="R55">
        <v>0.28539999999999999</v>
      </c>
      <c r="S55">
        <v>0.29249999999999998</v>
      </c>
      <c r="T55">
        <v>7.1000000000000004E-3</v>
      </c>
      <c r="U55">
        <v>0.3125</v>
      </c>
    </row>
    <row r="56" spans="1:21" x14ac:dyDescent="0.25">
      <c r="A56" t="str">
        <f t="shared" si="0"/>
        <v>5⁄16-24 or 0.3125-24 UNF CLASS 2</v>
      </c>
      <c r="B56" t="s">
        <v>117</v>
      </c>
      <c r="C56" t="s">
        <v>52</v>
      </c>
      <c r="D56" t="s">
        <v>118</v>
      </c>
      <c r="E56" t="s">
        <v>54</v>
      </c>
      <c r="F56" t="s">
        <v>55</v>
      </c>
      <c r="G56">
        <v>1.1000000000000001E-3</v>
      </c>
      <c r="H56">
        <v>0.31140000000000001</v>
      </c>
      <c r="I56">
        <v>0.30420000000000003</v>
      </c>
      <c r="J56">
        <v>0</v>
      </c>
      <c r="K56">
        <v>0.2843</v>
      </c>
      <c r="L56">
        <v>0.28060000000000002</v>
      </c>
      <c r="M56">
        <v>3.6600000000000001E-3</v>
      </c>
      <c r="N56">
        <v>0.26179999999999998</v>
      </c>
      <c r="O56" t="s">
        <v>56</v>
      </c>
      <c r="P56">
        <v>0.26700000000000002</v>
      </c>
      <c r="Q56">
        <v>0.27700000000000002</v>
      </c>
      <c r="R56">
        <v>0.28539999999999999</v>
      </c>
      <c r="S56">
        <v>0.29020000000000001</v>
      </c>
      <c r="T56">
        <v>4.7999999999999996E-3</v>
      </c>
      <c r="U56">
        <v>0.3125</v>
      </c>
    </row>
    <row r="57" spans="1:21" x14ac:dyDescent="0.25">
      <c r="A57" t="str">
        <f t="shared" si="0"/>
        <v>5⁄16-24 or 0.3125-24 UNF CLASS 3</v>
      </c>
      <c r="B57" t="s">
        <v>117</v>
      </c>
      <c r="C57" t="s">
        <v>52</v>
      </c>
      <c r="D57" t="s">
        <v>118</v>
      </c>
      <c r="E57" t="s">
        <v>54</v>
      </c>
      <c r="F57" t="s">
        <v>57</v>
      </c>
      <c r="G57">
        <v>0</v>
      </c>
      <c r="H57">
        <v>0.3125</v>
      </c>
      <c r="I57">
        <v>0.30530000000000002</v>
      </c>
      <c r="J57">
        <v>0</v>
      </c>
      <c r="K57">
        <v>0.28539999999999999</v>
      </c>
      <c r="L57">
        <v>0.28270000000000001</v>
      </c>
      <c r="M57">
        <v>2.7000000000000001E-3</v>
      </c>
      <c r="N57">
        <v>0.26290000000000002</v>
      </c>
      <c r="O57" t="s">
        <v>58</v>
      </c>
      <c r="P57">
        <v>0.26700000000000002</v>
      </c>
      <c r="Q57">
        <v>0.27539999999999998</v>
      </c>
      <c r="R57">
        <v>0.28539999999999999</v>
      </c>
      <c r="S57">
        <v>0.28899999999999998</v>
      </c>
      <c r="T57">
        <v>3.5999999999999999E-3</v>
      </c>
      <c r="U57">
        <v>0.3125</v>
      </c>
    </row>
    <row r="58" spans="1:21" x14ac:dyDescent="0.25">
      <c r="A58" t="str">
        <f t="shared" si="0"/>
        <v>5⁄16-28 or 0.3125-28 UN CLASS 2</v>
      </c>
      <c r="B58" t="s">
        <v>119</v>
      </c>
      <c r="C58" t="s">
        <v>52</v>
      </c>
      <c r="D58" t="s">
        <v>120</v>
      </c>
      <c r="E58" t="s">
        <v>98</v>
      </c>
      <c r="F58" t="s">
        <v>55</v>
      </c>
      <c r="G58">
        <v>1E-3</v>
      </c>
      <c r="H58">
        <v>0.3115</v>
      </c>
      <c r="I58">
        <v>0.30499999999999999</v>
      </c>
      <c r="J58">
        <v>0</v>
      </c>
      <c r="K58">
        <v>0.2883</v>
      </c>
      <c r="L58">
        <v>0.2848</v>
      </c>
      <c r="M58">
        <v>3.4949999999999998E-3</v>
      </c>
      <c r="N58">
        <v>0.26900000000000002</v>
      </c>
      <c r="O58" t="s">
        <v>56</v>
      </c>
      <c r="P58">
        <v>0.27400000000000002</v>
      </c>
      <c r="Q58">
        <v>0.28199999999999997</v>
      </c>
      <c r="R58">
        <v>0.2893</v>
      </c>
      <c r="S58">
        <v>0.29380000000000001</v>
      </c>
      <c r="T58">
        <v>4.4999999999999997E-3</v>
      </c>
      <c r="U58">
        <v>0.3125</v>
      </c>
    </row>
    <row r="59" spans="1:21" x14ac:dyDescent="0.25">
      <c r="A59" t="str">
        <f t="shared" si="0"/>
        <v>5⁄16-28 or 0.3125-28 UN CLASS 3</v>
      </c>
      <c r="B59" t="s">
        <v>119</v>
      </c>
      <c r="C59" t="s">
        <v>52</v>
      </c>
      <c r="D59" t="s">
        <v>120</v>
      </c>
      <c r="E59" t="s">
        <v>98</v>
      </c>
      <c r="F59" t="s">
        <v>57</v>
      </c>
      <c r="G59">
        <v>0</v>
      </c>
      <c r="H59">
        <v>0.3125</v>
      </c>
      <c r="I59">
        <v>0.30599999999999999</v>
      </c>
      <c r="J59">
        <v>0</v>
      </c>
      <c r="K59">
        <v>0.2893</v>
      </c>
      <c r="L59">
        <v>0.28670000000000001</v>
      </c>
      <c r="M59">
        <v>2.5999999999999999E-3</v>
      </c>
      <c r="N59">
        <v>0.27</v>
      </c>
      <c r="O59" t="s">
        <v>58</v>
      </c>
      <c r="P59">
        <v>0.27400000000000002</v>
      </c>
      <c r="Q59">
        <v>0.28070000000000001</v>
      </c>
      <c r="R59">
        <v>0.2893</v>
      </c>
      <c r="S59">
        <v>0.29270000000000002</v>
      </c>
      <c r="T59">
        <v>3.3999999999999998E-3</v>
      </c>
      <c r="U59">
        <v>0.3125</v>
      </c>
    </row>
    <row r="60" spans="1:21" x14ac:dyDescent="0.25">
      <c r="A60" t="str">
        <f t="shared" si="0"/>
        <v>5⁄16-32 or 0.3125-32 UNEF CLASS 2</v>
      </c>
      <c r="B60" t="s">
        <v>121</v>
      </c>
      <c r="C60" t="s">
        <v>52</v>
      </c>
      <c r="D60" t="s">
        <v>122</v>
      </c>
      <c r="E60" t="s">
        <v>95</v>
      </c>
      <c r="F60" t="s">
        <v>55</v>
      </c>
      <c r="G60">
        <v>1E-3</v>
      </c>
      <c r="H60">
        <v>0.3115</v>
      </c>
      <c r="I60">
        <v>0.30549999999999999</v>
      </c>
      <c r="J60">
        <v>0</v>
      </c>
      <c r="K60">
        <v>0.29120000000000001</v>
      </c>
      <c r="L60">
        <v>0.28789999999999999</v>
      </c>
      <c r="M60">
        <v>3.3019999999999998E-3</v>
      </c>
      <c r="N60">
        <v>0.27429999999999999</v>
      </c>
      <c r="O60" t="s">
        <v>56</v>
      </c>
      <c r="P60">
        <v>0.27900000000000003</v>
      </c>
      <c r="Q60">
        <v>0.28599999999999998</v>
      </c>
      <c r="R60">
        <v>0.29220000000000002</v>
      </c>
      <c r="S60">
        <v>0.29649999999999999</v>
      </c>
      <c r="T60">
        <v>4.3E-3</v>
      </c>
      <c r="U60">
        <v>0.3125</v>
      </c>
    </row>
    <row r="61" spans="1:21" x14ac:dyDescent="0.25">
      <c r="A61" t="str">
        <f t="shared" si="0"/>
        <v>5⁄16-32 or 0.3125-32 UNEF CLASS 3</v>
      </c>
      <c r="B61" t="s">
        <v>121</v>
      </c>
      <c r="C61" t="s">
        <v>52</v>
      </c>
      <c r="D61" t="s">
        <v>122</v>
      </c>
      <c r="E61" t="s">
        <v>95</v>
      </c>
      <c r="F61" t="s">
        <v>57</v>
      </c>
      <c r="G61">
        <v>0</v>
      </c>
      <c r="H61">
        <v>0.3125</v>
      </c>
      <c r="I61">
        <v>0.30649999999999999</v>
      </c>
      <c r="J61">
        <v>0</v>
      </c>
      <c r="K61">
        <v>0.29220000000000002</v>
      </c>
      <c r="L61">
        <v>0.28970000000000001</v>
      </c>
      <c r="M61">
        <v>2.5000000000000001E-3</v>
      </c>
      <c r="N61">
        <v>0.27529999999999999</v>
      </c>
      <c r="O61" t="s">
        <v>58</v>
      </c>
      <c r="P61">
        <v>0.27900000000000003</v>
      </c>
      <c r="Q61">
        <v>0.28460000000000002</v>
      </c>
      <c r="R61">
        <v>0.29220000000000002</v>
      </c>
      <c r="S61">
        <v>0.2954</v>
      </c>
      <c r="T61">
        <v>3.2000000000000002E-3</v>
      </c>
      <c r="U61">
        <v>0.3125</v>
      </c>
    </row>
    <row r="62" spans="1:21" x14ac:dyDescent="0.25">
      <c r="A62" t="str">
        <f t="shared" si="0"/>
        <v>3⁄8-16 or 0.3750-16 UNC CLASS 1</v>
      </c>
      <c r="B62" t="s">
        <v>123</v>
      </c>
      <c r="C62" t="s">
        <v>52</v>
      </c>
      <c r="D62" t="s">
        <v>124</v>
      </c>
      <c r="E62" t="s">
        <v>61</v>
      </c>
      <c r="F62" t="s">
        <v>96</v>
      </c>
      <c r="G62">
        <v>1.2999999999999999E-3</v>
      </c>
      <c r="H62">
        <v>0.37369999999999998</v>
      </c>
      <c r="I62">
        <v>0.35949999999999999</v>
      </c>
      <c r="J62">
        <v>0</v>
      </c>
      <c r="K62">
        <v>0.33310000000000001</v>
      </c>
      <c r="L62">
        <v>0.3266</v>
      </c>
      <c r="M62">
        <v>6.4999999999999997E-3</v>
      </c>
      <c r="N62">
        <v>0.29930000000000001</v>
      </c>
      <c r="O62" t="s">
        <v>97</v>
      </c>
      <c r="P62">
        <v>0.307</v>
      </c>
      <c r="Q62">
        <v>0.32100000000000001</v>
      </c>
      <c r="R62">
        <v>0.33439999999999998</v>
      </c>
      <c r="S62">
        <v>0.34289999999999998</v>
      </c>
      <c r="T62">
        <v>8.5000000000000006E-3</v>
      </c>
      <c r="U62">
        <v>0.375</v>
      </c>
    </row>
    <row r="63" spans="1:21" x14ac:dyDescent="0.25">
      <c r="A63" t="str">
        <f t="shared" si="0"/>
        <v>3⁄8-16 or 0.3750-16 UNC CLASS 2</v>
      </c>
      <c r="B63" t="s">
        <v>123</v>
      </c>
      <c r="C63" t="s">
        <v>52</v>
      </c>
      <c r="D63" t="s">
        <v>124</v>
      </c>
      <c r="E63" t="s">
        <v>61</v>
      </c>
      <c r="F63" t="s">
        <v>55</v>
      </c>
      <c r="G63">
        <v>1.2999999999999999E-3</v>
      </c>
      <c r="H63">
        <v>0.37369999999999998</v>
      </c>
      <c r="I63">
        <v>0.36430000000000001</v>
      </c>
      <c r="J63">
        <v>0.35949999999999999</v>
      </c>
      <c r="K63">
        <v>0.33310000000000001</v>
      </c>
      <c r="L63">
        <v>0.32869999999999999</v>
      </c>
      <c r="M63">
        <v>4.3629999999999997E-3</v>
      </c>
      <c r="N63">
        <v>0.29930000000000001</v>
      </c>
      <c r="O63" t="s">
        <v>56</v>
      </c>
      <c r="P63">
        <v>0.307</v>
      </c>
      <c r="Q63">
        <v>0.32100000000000001</v>
      </c>
      <c r="R63">
        <v>0.33439999999999998</v>
      </c>
      <c r="S63">
        <v>0.34010000000000001</v>
      </c>
      <c r="T63">
        <v>5.7000000000000002E-3</v>
      </c>
      <c r="U63">
        <v>0.375</v>
      </c>
    </row>
    <row r="64" spans="1:21" x14ac:dyDescent="0.25">
      <c r="A64" t="str">
        <f t="shared" si="0"/>
        <v>3⁄8-16 or 0.3750-16 UNC CLASS 3</v>
      </c>
      <c r="B64" t="s">
        <v>123</v>
      </c>
      <c r="C64" t="s">
        <v>52</v>
      </c>
      <c r="D64" t="s">
        <v>124</v>
      </c>
      <c r="E64" t="s">
        <v>61</v>
      </c>
      <c r="F64" t="s">
        <v>57</v>
      </c>
      <c r="G64">
        <v>0</v>
      </c>
      <c r="H64">
        <v>0.375</v>
      </c>
      <c r="I64">
        <v>0.36559999999999998</v>
      </c>
      <c r="J64">
        <v>0</v>
      </c>
      <c r="K64">
        <v>0.33439999999999998</v>
      </c>
      <c r="L64">
        <v>0.33110000000000001</v>
      </c>
      <c r="M64">
        <v>3.3E-3</v>
      </c>
      <c r="N64">
        <v>0.30059999999999998</v>
      </c>
      <c r="O64" t="s">
        <v>58</v>
      </c>
      <c r="P64">
        <v>0.307</v>
      </c>
      <c r="Q64">
        <v>0.31819999999999998</v>
      </c>
      <c r="R64">
        <v>0.33439999999999998</v>
      </c>
      <c r="S64">
        <v>0.3387</v>
      </c>
      <c r="T64">
        <v>4.3E-3</v>
      </c>
      <c r="U64">
        <v>0.375</v>
      </c>
    </row>
    <row r="65" spans="1:21" x14ac:dyDescent="0.25">
      <c r="A65" t="str">
        <f t="shared" si="0"/>
        <v>3⁄8-20 or 0.3750-20 UN CLASS 2</v>
      </c>
      <c r="B65" t="s">
        <v>125</v>
      </c>
      <c r="C65" t="s">
        <v>52</v>
      </c>
      <c r="D65" t="s">
        <v>126</v>
      </c>
      <c r="E65" t="s">
        <v>98</v>
      </c>
      <c r="F65" t="s">
        <v>55</v>
      </c>
      <c r="G65">
        <v>1.1999999999999999E-3</v>
      </c>
      <c r="H65">
        <v>0.37380000000000002</v>
      </c>
      <c r="I65">
        <v>0.36570000000000003</v>
      </c>
      <c r="J65">
        <v>0</v>
      </c>
      <c r="K65">
        <v>0.34129999999999999</v>
      </c>
      <c r="L65">
        <v>0.3372</v>
      </c>
      <c r="M65">
        <v>4.1240000000000001E-3</v>
      </c>
      <c r="N65">
        <v>0.31430000000000002</v>
      </c>
      <c r="O65" t="s">
        <v>56</v>
      </c>
      <c r="P65">
        <v>0.32100000000000001</v>
      </c>
      <c r="Q65">
        <v>0.33200000000000002</v>
      </c>
      <c r="R65">
        <v>0.34250000000000003</v>
      </c>
      <c r="S65">
        <v>0.34789999999999999</v>
      </c>
      <c r="T65">
        <v>5.4000000000000003E-3</v>
      </c>
      <c r="U65">
        <v>0.375</v>
      </c>
    </row>
    <row r="66" spans="1:21" x14ac:dyDescent="0.25">
      <c r="A66" t="str">
        <f t="shared" si="0"/>
        <v>3⁄8-20 or 0.3750-20 UN CLASS 3</v>
      </c>
      <c r="B66" t="s">
        <v>125</v>
      </c>
      <c r="C66" t="s">
        <v>52</v>
      </c>
      <c r="D66" t="s">
        <v>126</v>
      </c>
      <c r="E66" t="s">
        <v>98</v>
      </c>
      <c r="F66" t="s">
        <v>57</v>
      </c>
      <c r="G66">
        <v>0</v>
      </c>
      <c r="H66">
        <v>0.375</v>
      </c>
      <c r="I66">
        <v>0.3669</v>
      </c>
      <c r="J66">
        <v>0</v>
      </c>
      <c r="K66">
        <v>0.34250000000000003</v>
      </c>
      <c r="L66">
        <v>0.33939999999999998</v>
      </c>
      <c r="M66">
        <v>3.0999999999999999E-3</v>
      </c>
      <c r="N66">
        <v>0.3155</v>
      </c>
      <c r="O66" t="s">
        <v>58</v>
      </c>
      <c r="P66">
        <v>0.32100000000000001</v>
      </c>
      <c r="Q66">
        <v>0.32969999999999999</v>
      </c>
      <c r="R66">
        <v>0.34250000000000003</v>
      </c>
      <c r="S66">
        <v>0.34649999999999997</v>
      </c>
      <c r="T66">
        <v>4.0000000000000001E-3</v>
      </c>
      <c r="U66">
        <v>0.375</v>
      </c>
    </row>
    <row r="67" spans="1:21" x14ac:dyDescent="0.25">
      <c r="A67" t="str">
        <f t="shared" ref="A67:A109" si="1">_xlfn.CONCAT(B67," ",C67," ",D67," ",E67," CLASS ",LEFT(F67,1))</f>
        <v>3⁄8-24 or 0.3750-24 UNF CLASS 1</v>
      </c>
      <c r="B67" t="s">
        <v>127</v>
      </c>
      <c r="C67" t="s">
        <v>52</v>
      </c>
      <c r="D67" t="s">
        <v>128</v>
      </c>
      <c r="E67" t="s">
        <v>54</v>
      </c>
      <c r="F67" t="s">
        <v>96</v>
      </c>
      <c r="G67">
        <v>1.1000000000000001E-3</v>
      </c>
      <c r="H67">
        <v>0.37390000000000001</v>
      </c>
      <c r="I67">
        <v>0.36309999999999998</v>
      </c>
      <c r="J67">
        <v>0</v>
      </c>
      <c r="K67">
        <v>0.3468</v>
      </c>
      <c r="L67">
        <v>0.34110000000000001</v>
      </c>
      <c r="M67">
        <v>5.7000000000000002E-3</v>
      </c>
      <c r="N67">
        <v>0.32429999999999998</v>
      </c>
      <c r="O67" t="s">
        <v>97</v>
      </c>
      <c r="P67">
        <v>0.33</v>
      </c>
      <c r="Q67">
        <v>0.34</v>
      </c>
      <c r="R67">
        <v>0.34789999999999999</v>
      </c>
      <c r="S67">
        <v>0.3553</v>
      </c>
      <c r="T67">
        <v>7.4000000000000003E-3</v>
      </c>
      <c r="U67">
        <v>0.375</v>
      </c>
    </row>
    <row r="68" spans="1:21" x14ac:dyDescent="0.25">
      <c r="A68" t="str">
        <f t="shared" si="1"/>
        <v>3⁄8-24 or 0.3750-24 UNF CLASS 2</v>
      </c>
      <c r="B68" t="s">
        <v>127</v>
      </c>
      <c r="C68" t="s">
        <v>52</v>
      </c>
      <c r="D68" t="s">
        <v>128</v>
      </c>
      <c r="E68" t="s">
        <v>54</v>
      </c>
      <c r="F68" t="s">
        <v>55</v>
      </c>
      <c r="G68">
        <v>1.1000000000000001E-3</v>
      </c>
      <c r="H68">
        <v>0.37390000000000001</v>
      </c>
      <c r="I68">
        <v>0.36670000000000003</v>
      </c>
      <c r="J68">
        <v>0</v>
      </c>
      <c r="K68">
        <v>0.3468</v>
      </c>
      <c r="L68">
        <v>0.34300000000000003</v>
      </c>
      <c r="M68">
        <v>3.8040000000000001E-3</v>
      </c>
      <c r="N68">
        <v>0.32429999999999998</v>
      </c>
      <c r="O68" t="s">
        <v>56</v>
      </c>
      <c r="P68">
        <v>0.33</v>
      </c>
      <c r="Q68">
        <v>0.34</v>
      </c>
      <c r="R68">
        <v>0.34789999999999999</v>
      </c>
      <c r="S68">
        <v>0.3528</v>
      </c>
      <c r="T68">
        <v>4.8999999999999998E-3</v>
      </c>
      <c r="U68">
        <v>0.375</v>
      </c>
    </row>
    <row r="69" spans="1:21" x14ac:dyDescent="0.25">
      <c r="A69" t="str">
        <f t="shared" si="1"/>
        <v>3⁄8-24 or 0.3750-24 UNF CLASS 3</v>
      </c>
      <c r="B69" t="s">
        <v>127</v>
      </c>
      <c r="C69" t="s">
        <v>52</v>
      </c>
      <c r="D69" t="s">
        <v>128</v>
      </c>
      <c r="E69" t="s">
        <v>54</v>
      </c>
      <c r="F69" t="s">
        <v>57</v>
      </c>
      <c r="G69">
        <v>0</v>
      </c>
      <c r="H69">
        <v>0.375</v>
      </c>
      <c r="I69">
        <v>0.36780000000000002</v>
      </c>
      <c r="J69">
        <v>0</v>
      </c>
      <c r="K69">
        <v>0.34789999999999999</v>
      </c>
      <c r="L69">
        <v>0.34499999999999997</v>
      </c>
      <c r="M69">
        <v>2.8999999999999998E-3</v>
      </c>
      <c r="N69">
        <v>0.32540000000000002</v>
      </c>
      <c r="O69" t="s">
        <v>58</v>
      </c>
      <c r="P69">
        <v>0.33</v>
      </c>
      <c r="Q69">
        <v>0.3372</v>
      </c>
      <c r="R69">
        <v>0.34789999999999999</v>
      </c>
      <c r="S69">
        <v>0.35160000000000002</v>
      </c>
      <c r="T69">
        <v>3.7000000000000002E-3</v>
      </c>
      <c r="U69">
        <v>0.375</v>
      </c>
    </row>
    <row r="70" spans="1:21" x14ac:dyDescent="0.25">
      <c r="A70" t="str">
        <f t="shared" si="1"/>
        <v>3⁄8-28 or 0.3750-28 UN CLASS 2</v>
      </c>
      <c r="B70" t="s">
        <v>129</v>
      </c>
      <c r="C70" t="s">
        <v>52</v>
      </c>
      <c r="D70" t="s">
        <v>130</v>
      </c>
      <c r="E70" t="s">
        <v>98</v>
      </c>
      <c r="F70" t="s">
        <v>55</v>
      </c>
      <c r="G70">
        <v>1.1000000000000001E-3</v>
      </c>
      <c r="H70">
        <v>0.37390000000000001</v>
      </c>
      <c r="I70">
        <v>0.3674</v>
      </c>
      <c r="J70">
        <v>0</v>
      </c>
      <c r="K70">
        <v>0.35070000000000001</v>
      </c>
      <c r="L70">
        <v>0.34710000000000002</v>
      </c>
      <c r="M70">
        <v>3.5590000000000001E-3</v>
      </c>
      <c r="N70">
        <v>0.33139999999999997</v>
      </c>
      <c r="O70" t="s">
        <v>56</v>
      </c>
      <c r="P70">
        <v>0.33600000000000002</v>
      </c>
      <c r="Q70">
        <v>0.34499999999999997</v>
      </c>
      <c r="R70">
        <v>0.3518</v>
      </c>
      <c r="S70">
        <v>0.35639999999999999</v>
      </c>
      <c r="T70">
        <v>4.5999999999999999E-3</v>
      </c>
      <c r="U70">
        <v>0.375</v>
      </c>
    </row>
    <row r="71" spans="1:21" x14ac:dyDescent="0.25">
      <c r="A71" t="str">
        <f t="shared" si="1"/>
        <v>3⁄8-28 or 0.3750-28 UN CLASS 3</v>
      </c>
      <c r="B71" t="s">
        <v>129</v>
      </c>
      <c r="C71" t="s">
        <v>52</v>
      </c>
      <c r="D71" t="s">
        <v>130</v>
      </c>
      <c r="E71" t="s">
        <v>98</v>
      </c>
      <c r="F71" t="s">
        <v>57</v>
      </c>
      <c r="G71">
        <v>0</v>
      </c>
      <c r="H71">
        <v>0.375</v>
      </c>
      <c r="I71">
        <v>0.36849999999999999</v>
      </c>
      <c r="J71">
        <v>0</v>
      </c>
      <c r="K71">
        <v>0.3518</v>
      </c>
      <c r="L71">
        <v>0.34910000000000002</v>
      </c>
      <c r="M71">
        <v>2.7000000000000001E-3</v>
      </c>
      <c r="N71">
        <v>0.33250000000000002</v>
      </c>
      <c r="O71" t="s">
        <v>58</v>
      </c>
      <c r="P71">
        <v>0.33600000000000002</v>
      </c>
      <c r="Q71">
        <v>0.34260000000000002</v>
      </c>
      <c r="R71">
        <v>0.3518</v>
      </c>
      <c r="S71">
        <v>0.3553</v>
      </c>
      <c r="T71">
        <v>3.5000000000000001E-3</v>
      </c>
      <c r="U71">
        <v>0.375</v>
      </c>
    </row>
    <row r="72" spans="1:21" x14ac:dyDescent="0.25">
      <c r="A72" t="str">
        <f t="shared" si="1"/>
        <v>3⁄8-32 or 0.3750-32 UNEF CLASS 2</v>
      </c>
      <c r="B72" t="s">
        <v>131</v>
      </c>
      <c r="C72" t="s">
        <v>52</v>
      </c>
      <c r="D72" t="s">
        <v>132</v>
      </c>
      <c r="E72" t="s">
        <v>95</v>
      </c>
      <c r="F72" t="s">
        <v>55</v>
      </c>
      <c r="G72">
        <v>1E-3</v>
      </c>
      <c r="H72">
        <v>0.374</v>
      </c>
      <c r="I72">
        <v>0.36799999999999999</v>
      </c>
      <c r="J72">
        <v>0</v>
      </c>
      <c r="K72">
        <v>0.35370000000000001</v>
      </c>
      <c r="L72">
        <v>0.3503</v>
      </c>
      <c r="M72">
        <v>3.3660000000000001E-3</v>
      </c>
      <c r="N72">
        <v>0.33679999999999999</v>
      </c>
      <c r="O72" t="s">
        <v>56</v>
      </c>
      <c r="P72">
        <v>0.34100000000000003</v>
      </c>
      <c r="Q72">
        <v>0.34899999999999998</v>
      </c>
      <c r="R72">
        <v>0.35470000000000002</v>
      </c>
      <c r="S72">
        <v>0.35909999999999997</v>
      </c>
      <c r="T72">
        <v>4.4000000000000003E-3</v>
      </c>
      <c r="U72">
        <v>0.375</v>
      </c>
    </row>
    <row r="73" spans="1:21" x14ac:dyDescent="0.25">
      <c r="A73" t="str">
        <f t="shared" si="1"/>
        <v>3⁄8-32 or 0.3750-32 UNEF CLASS 3</v>
      </c>
      <c r="B73" t="s">
        <v>131</v>
      </c>
      <c r="C73" t="s">
        <v>52</v>
      </c>
      <c r="D73" t="s">
        <v>132</v>
      </c>
      <c r="E73" t="s">
        <v>95</v>
      </c>
      <c r="F73" t="s">
        <v>57</v>
      </c>
      <c r="G73">
        <v>0</v>
      </c>
      <c r="H73">
        <v>0.375</v>
      </c>
      <c r="I73">
        <v>0.36899999999999999</v>
      </c>
      <c r="J73">
        <v>0</v>
      </c>
      <c r="K73">
        <v>0.35470000000000002</v>
      </c>
      <c r="L73">
        <v>0.35220000000000001</v>
      </c>
      <c r="M73">
        <v>2.5000000000000001E-3</v>
      </c>
      <c r="N73">
        <v>0.33779999999999999</v>
      </c>
      <c r="O73" t="s">
        <v>58</v>
      </c>
      <c r="P73">
        <v>0.34100000000000003</v>
      </c>
      <c r="Q73">
        <v>0.34689999999999999</v>
      </c>
      <c r="R73">
        <v>0.35470000000000002</v>
      </c>
      <c r="S73">
        <v>0.35799999999999998</v>
      </c>
      <c r="T73">
        <v>3.3E-3</v>
      </c>
      <c r="U73">
        <v>0.375</v>
      </c>
    </row>
    <row r="74" spans="1:21" x14ac:dyDescent="0.25">
      <c r="A74" t="str">
        <f t="shared" si="1"/>
        <v>7⁄16-14 or 0.4375-14 UNC CLASS 1</v>
      </c>
      <c r="B74" t="s">
        <v>133</v>
      </c>
      <c r="C74" t="s">
        <v>52</v>
      </c>
      <c r="D74" t="s">
        <v>134</v>
      </c>
      <c r="E74" t="s">
        <v>61</v>
      </c>
      <c r="F74" t="s">
        <v>96</v>
      </c>
      <c r="G74">
        <v>1.4E-3</v>
      </c>
      <c r="H74">
        <v>0.43609999999999999</v>
      </c>
      <c r="I74">
        <v>0.42059999999999997</v>
      </c>
      <c r="J74">
        <v>0</v>
      </c>
      <c r="K74">
        <v>0.38969999999999999</v>
      </c>
      <c r="L74">
        <v>0.3826</v>
      </c>
      <c r="M74">
        <v>7.1000000000000004E-3</v>
      </c>
      <c r="N74">
        <v>0.35099999999999998</v>
      </c>
      <c r="O74" t="s">
        <v>97</v>
      </c>
      <c r="P74">
        <v>0.36</v>
      </c>
      <c r="Q74">
        <v>0.376</v>
      </c>
      <c r="R74">
        <v>0.3911</v>
      </c>
      <c r="S74">
        <v>0.40029999999999999</v>
      </c>
      <c r="T74">
        <v>9.1999999999999998E-3</v>
      </c>
      <c r="U74">
        <v>0.4375</v>
      </c>
    </row>
    <row r="75" spans="1:21" x14ac:dyDescent="0.25">
      <c r="A75" t="str">
        <f t="shared" si="1"/>
        <v>7⁄16-14 or 0.4375-14 UNC CLASS 2</v>
      </c>
      <c r="B75" t="s">
        <v>133</v>
      </c>
      <c r="C75" t="s">
        <v>52</v>
      </c>
      <c r="D75" t="s">
        <v>134</v>
      </c>
      <c r="E75" t="s">
        <v>61</v>
      </c>
      <c r="F75" t="s">
        <v>55</v>
      </c>
      <c r="G75">
        <v>1.4E-3</v>
      </c>
      <c r="H75">
        <v>0.43609999999999999</v>
      </c>
      <c r="I75">
        <v>0.42580000000000001</v>
      </c>
      <c r="J75">
        <v>0.42059999999999997</v>
      </c>
      <c r="K75">
        <v>0.38969999999999999</v>
      </c>
      <c r="L75">
        <v>0.38500000000000001</v>
      </c>
      <c r="M75">
        <v>4.7130000000000002E-3</v>
      </c>
      <c r="N75">
        <v>0.35099999999999998</v>
      </c>
      <c r="O75" t="s">
        <v>56</v>
      </c>
      <c r="P75">
        <v>0.36</v>
      </c>
      <c r="Q75">
        <v>0.376</v>
      </c>
      <c r="R75">
        <v>0.3911</v>
      </c>
      <c r="S75">
        <v>0.3972</v>
      </c>
      <c r="T75">
        <v>6.1000000000000004E-3</v>
      </c>
      <c r="U75">
        <v>0.4375</v>
      </c>
    </row>
    <row r="76" spans="1:21" x14ac:dyDescent="0.25">
      <c r="A76" t="str">
        <f t="shared" si="1"/>
        <v>7⁄16-14 or 0.4375-14 UNC CLASS 3</v>
      </c>
      <c r="B76" t="s">
        <v>133</v>
      </c>
      <c r="C76" t="s">
        <v>52</v>
      </c>
      <c r="D76" t="s">
        <v>134</v>
      </c>
      <c r="E76" t="s">
        <v>61</v>
      </c>
      <c r="F76" t="s">
        <v>57</v>
      </c>
      <c r="G76">
        <v>0</v>
      </c>
      <c r="H76">
        <v>0.4375</v>
      </c>
      <c r="I76">
        <v>0.42720000000000002</v>
      </c>
      <c r="J76">
        <v>0</v>
      </c>
      <c r="K76">
        <v>0.3911</v>
      </c>
      <c r="L76">
        <v>0.3876</v>
      </c>
      <c r="M76">
        <v>3.5000000000000001E-3</v>
      </c>
      <c r="N76">
        <v>0.35239999999999999</v>
      </c>
      <c r="O76" t="s">
        <v>58</v>
      </c>
      <c r="P76">
        <v>0.36</v>
      </c>
      <c r="Q76">
        <v>0.37169999999999997</v>
      </c>
      <c r="R76">
        <v>0.3911</v>
      </c>
      <c r="S76">
        <v>0.3957</v>
      </c>
      <c r="T76">
        <v>4.5999999999999999E-3</v>
      </c>
      <c r="U76">
        <v>0.4375</v>
      </c>
    </row>
    <row r="77" spans="1:21" x14ac:dyDescent="0.25">
      <c r="A77" t="str">
        <f t="shared" si="1"/>
        <v>7⁄16-16 or 0.4375-16 UN CLASS 2</v>
      </c>
      <c r="B77" t="s">
        <v>135</v>
      </c>
      <c r="C77" t="s">
        <v>52</v>
      </c>
      <c r="D77" t="s">
        <v>136</v>
      </c>
      <c r="E77" t="s">
        <v>98</v>
      </c>
      <c r="F77" t="s">
        <v>55</v>
      </c>
      <c r="G77">
        <v>1.4E-3</v>
      </c>
      <c r="H77">
        <v>0.43609999999999999</v>
      </c>
      <c r="I77">
        <v>0.42670000000000002</v>
      </c>
      <c r="J77">
        <v>0</v>
      </c>
      <c r="K77">
        <v>0.39550000000000002</v>
      </c>
      <c r="L77">
        <v>0.39090000000000003</v>
      </c>
      <c r="M77">
        <v>4.6259999999999999E-3</v>
      </c>
      <c r="N77">
        <v>0.36170000000000002</v>
      </c>
      <c r="O77" t="s">
        <v>56</v>
      </c>
      <c r="P77">
        <v>0.37</v>
      </c>
      <c r="Q77">
        <v>0.38400000000000001</v>
      </c>
      <c r="R77">
        <v>0.39689999999999998</v>
      </c>
      <c r="S77">
        <v>0.40289999999999998</v>
      </c>
      <c r="T77">
        <v>6.0000000000000001E-3</v>
      </c>
      <c r="U77">
        <v>0.4375</v>
      </c>
    </row>
    <row r="78" spans="1:21" x14ac:dyDescent="0.25">
      <c r="A78" t="str">
        <f t="shared" si="1"/>
        <v>7⁄16-16 or 0.4375-16 UN CLASS 3</v>
      </c>
      <c r="B78" t="s">
        <v>135</v>
      </c>
      <c r="C78" t="s">
        <v>52</v>
      </c>
      <c r="D78" t="s">
        <v>136</v>
      </c>
      <c r="E78" t="s">
        <v>98</v>
      </c>
      <c r="F78" t="s">
        <v>57</v>
      </c>
      <c r="G78">
        <v>0</v>
      </c>
      <c r="H78">
        <v>0.4375</v>
      </c>
      <c r="I78">
        <v>0.42809999999999998</v>
      </c>
      <c r="J78">
        <v>0</v>
      </c>
      <c r="K78">
        <v>0.39689999999999998</v>
      </c>
      <c r="L78">
        <v>0.39340000000000003</v>
      </c>
      <c r="M78">
        <v>3.5000000000000001E-3</v>
      </c>
      <c r="N78">
        <v>0.36309999999999998</v>
      </c>
      <c r="O78" t="s">
        <v>58</v>
      </c>
      <c r="P78">
        <v>0.37</v>
      </c>
      <c r="Q78">
        <v>0.38</v>
      </c>
      <c r="R78">
        <v>0.39689999999999998</v>
      </c>
      <c r="S78">
        <v>0.40139999999999998</v>
      </c>
      <c r="T78">
        <v>4.4999999999999997E-3</v>
      </c>
      <c r="U78">
        <v>0.4375</v>
      </c>
    </row>
    <row r="79" spans="1:21" x14ac:dyDescent="0.25">
      <c r="A79" t="str">
        <f t="shared" si="1"/>
        <v>7⁄16-20 or 0.4375-20 UNF CLASS 1</v>
      </c>
      <c r="B79" t="s">
        <v>137</v>
      </c>
      <c r="C79" t="s">
        <v>52</v>
      </c>
      <c r="D79" t="s">
        <v>138</v>
      </c>
      <c r="E79" t="s">
        <v>54</v>
      </c>
      <c r="F79" t="s">
        <v>96</v>
      </c>
      <c r="G79">
        <v>1.2999999999999999E-3</v>
      </c>
      <c r="H79">
        <v>0.43619999999999998</v>
      </c>
      <c r="I79">
        <v>0.42399999999999999</v>
      </c>
      <c r="J79">
        <v>0</v>
      </c>
      <c r="K79">
        <v>0.4037</v>
      </c>
      <c r="L79">
        <v>0.39739999999999998</v>
      </c>
      <c r="M79">
        <v>6.3E-3</v>
      </c>
      <c r="N79">
        <v>0.37669999999999998</v>
      </c>
      <c r="O79" t="s">
        <v>97</v>
      </c>
      <c r="P79">
        <v>0.38300000000000001</v>
      </c>
      <c r="Q79">
        <v>0.39500000000000002</v>
      </c>
      <c r="R79">
        <v>0.40500000000000003</v>
      </c>
      <c r="S79">
        <v>0.41310000000000002</v>
      </c>
      <c r="T79">
        <v>8.0999999999999996E-3</v>
      </c>
      <c r="U79">
        <v>0.4375</v>
      </c>
    </row>
    <row r="80" spans="1:21" x14ac:dyDescent="0.25">
      <c r="A80" t="str">
        <f t="shared" si="1"/>
        <v>7⁄16-20 or 0.4375-20 UNF CLASS 2</v>
      </c>
      <c r="B80" t="s">
        <v>137</v>
      </c>
      <c r="C80" t="s">
        <v>52</v>
      </c>
      <c r="D80" t="s">
        <v>138</v>
      </c>
      <c r="E80" t="s">
        <v>54</v>
      </c>
      <c r="F80" t="s">
        <v>55</v>
      </c>
      <c r="G80">
        <v>1.2999999999999999E-3</v>
      </c>
      <c r="H80">
        <v>0.43619999999999998</v>
      </c>
      <c r="I80">
        <v>0.42809999999999998</v>
      </c>
      <c r="J80">
        <v>0</v>
      </c>
      <c r="K80">
        <v>0.4037</v>
      </c>
      <c r="L80">
        <v>0.39950000000000002</v>
      </c>
      <c r="M80">
        <v>4.1669999999999997E-3</v>
      </c>
      <c r="N80">
        <v>0.37669999999999998</v>
      </c>
      <c r="O80" t="s">
        <v>56</v>
      </c>
      <c r="P80">
        <v>0.38300000000000001</v>
      </c>
      <c r="Q80">
        <v>0.39500000000000002</v>
      </c>
      <c r="R80">
        <v>0.40500000000000003</v>
      </c>
      <c r="S80">
        <v>0.41039999999999999</v>
      </c>
      <c r="T80">
        <v>5.4000000000000003E-3</v>
      </c>
      <c r="U80">
        <v>0.4375</v>
      </c>
    </row>
    <row r="81" spans="1:21" x14ac:dyDescent="0.25">
      <c r="A81" t="str">
        <f t="shared" si="1"/>
        <v>7⁄16-20 or 0.4375-20 UNF CLASS 3</v>
      </c>
      <c r="B81" t="s">
        <v>137</v>
      </c>
      <c r="C81" t="s">
        <v>52</v>
      </c>
      <c r="D81" t="s">
        <v>138</v>
      </c>
      <c r="E81" t="s">
        <v>54</v>
      </c>
      <c r="F81" t="s">
        <v>57</v>
      </c>
      <c r="G81">
        <v>0</v>
      </c>
      <c r="H81">
        <v>0.4375</v>
      </c>
      <c r="I81">
        <v>0.4294</v>
      </c>
      <c r="J81">
        <v>0</v>
      </c>
      <c r="K81">
        <v>0.40500000000000003</v>
      </c>
      <c r="L81">
        <v>0.40189999999999998</v>
      </c>
      <c r="M81">
        <v>3.0999999999999999E-3</v>
      </c>
      <c r="N81">
        <v>0.378</v>
      </c>
      <c r="O81" t="s">
        <v>58</v>
      </c>
      <c r="P81">
        <v>0.38300000000000001</v>
      </c>
      <c r="Q81">
        <v>0.3916</v>
      </c>
      <c r="R81">
        <v>0.40500000000000003</v>
      </c>
      <c r="S81">
        <v>0.40910000000000002</v>
      </c>
      <c r="T81">
        <v>4.1000000000000003E-3</v>
      </c>
      <c r="U81">
        <v>0.4375</v>
      </c>
    </row>
    <row r="82" spans="1:21" x14ac:dyDescent="0.25">
      <c r="A82" t="str">
        <f t="shared" si="1"/>
        <v>7⁄16-28 or 0.4375-28 UNEF CLASS 2</v>
      </c>
      <c r="B82" t="s">
        <v>139</v>
      </c>
      <c r="C82" t="s">
        <v>52</v>
      </c>
      <c r="D82" t="s">
        <v>140</v>
      </c>
      <c r="E82" t="s">
        <v>95</v>
      </c>
      <c r="F82" t="s">
        <v>55</v>
      </c>
      <c r="G82">
        <v>1.1000000000000001E-3</v>
      </c>
      <c r="H82">
        <v>0.43640000000000001</v>
      </c>
      <c r="I82">
        <v>0.4299</v>
      </c>
      <c r="J82">
        <v>0</v>
      </c>
      <c r="K82">
        <v>0.41320000000000001</v>
      </c>
      <c r="L82">
        <v>0.40960000000000002</v>
      </c>
      <c r="M82">
        <v>3.6159999999999999E-3</v>
      </c>
      <c r="N82">
        <v>0.39389999999999997</v>
      </c>
      <c r="O82" t="s">
        <v>56</v>
      </c>
      <c r="P82">
        <v>0.39900000000000002</v>
      </c>
      <c r="Q82">
        <v>0.40699999999999997</v>
      </c>
      <c r="R82">
        <v>0.4143</v>
      </c>
      <c r="S82">
        <v>0.41899999999999998</v>
      </c>
      <c r="T82">
        <v>4.7000000000000002E-3</v>
      </c>
      <c r="U82">
        <v>0.4375</v>
      </c>
    </row>
    <row r="83" spans="1:21" x14ac:dyDescent="0.25">
      <c r="A83" t="str">
        <f t="shared" si="1"/>
        <v>7⁄16-28 or 0.4375-28 UNEF CLASS 3</v>
      </c>
      <c r="B83" t="s">
        <v>139</v>
      </c>
      <c r="C83" t="s">
        <v>52</v>
      </c>
      <c r="D83" t="s">
        <v>140</v>
      </c>
      <c r="E83" t="s">
        <v>95</v>
      </c>
      <c r="F83" t="s">
        <v>57</v>
      </c>
      <c r="G83">
        <v>0</v>
      </c>
      <c r="H83">
        <v>0.4375</v>
      </c>
      <c r="I83">
        <v>0.43099999999999999</v>
      </c>
      <c r="J83">
        <v>0</v>
      </c>
      <c r="K83">
        <v>0.4143</v>
      </c>
      <c r="L83">
        <v>0.41160000000000002</v>
      </c>
      <c r="M83">
        <v>2.7000000000000001E-3</v>
      </c>
      <c r="N83">
        <v>0.39500000000000002</v>
      </c>
      <c r="O83" t="s">
        <v>58</v>
      </c>
      <c r="P83">
        <v>0.39900000000000002</v>
      </c>
      <c r="Q83">
        <v>0.40510000000000002</v>
      </c>
      <c r="R83">
        <v>0.4143</v>
      </c>
      <c r="S83">
        <v>0.4178</v>
      </c>
      <c r="T83">
        <v>3.5000000000000001E-3</v>
      </c>
      <c r="U83">
        <v>0.4375</v>
      </c>
    </row>
    <row r="84" spans="1:21" x14ac:dyDescent="0.25">
      <c r="A84" t="str">
        <f t="shared" si="1"/>
        <v>7⁄16-32 or 0.4375-32 UN CLASS 2</v>
      </c>
      <c r="B84" t="s">
        <v>141</v>
      </c>
      <c r="C84" t="s">
        <v>52</v>
      </c>
      <c r="D84" t="s">
        <v>142</v>
      </c>
      <c r="E84" t="s">
        <v>98</v>
      </c>
      <c r="F84" t="s">
        <v>55</v>
      </c>
      <c r="G84">
        <v>1E-3</v>
      </c>
      <c r="H84">
        <v>0.4365</v>
      </c>
      <c r="I84">
        <v>0.43049999999999999</v>
      </c>
      <c r="J84">
        <v>0</v>
      </c>
      <c r="K84">
        <v>0.41620000000000001</v>
      </c>
      <c r="L84">
        <v>0.4128</v>
      </c>
      <c r="M84">
        <v>3.4229999999999998E-3</v>
      </c>
      <c r="N84">
        <v>0.39929999999999999</v>
      </c>
      <c r="O84" t="s">
        <v>56</v>
      </c>
      <c r="P84">
        <v>0.40400000000000003</v>
      </c>
      <c r="Q84">
        <v>0.41099999999999998</v>
      </c>
      <c r="R84">
        <v>0.41720000000000002</v>
      </c>
      <c r="S84">
        <v>0.42159999999999997</v>
      </c>
      <c r="T84">
        <v>4.4000000000000003E-3</v>
      </c>
      <c r="U84">
        <v>0.4375</v>
      </c>
    </row>
    <row r="85" spans="1:21" x14ac:dyDescent="0.25">
      <c r="A85" t="str">
        <f t="shared" si="1"/>
        <v>7⁄16-32 or 0.4375-32 UN CLASS 3</v>
      </c>
      <c r="B85" t="s">
        <v>141</v>
      </c>
      <c r="C85" t="s">
        <v>52</v>
      </c>
      <c r="D85" t="s">
        <v>142</v>
      </c>
      <c r="E85" t="s">
        <v>98</v>
      </c>
      <c r="F85" t="s">
        <v>57</v>
      </c>
      <c r="G85">
        <v>0</v>
      </c>
      <c r="H85">
        <v>0.4375</v>
      </c>
      <c r="I85">
        <v>0.43149999999999999</v>
      </c>
      <c r="J85">
        <v>0</v>
      </c>
      <c r="K85">
        <v>0.41720000000000002</v>
      </c>
      <c r="L85">
        <v>0.41460000000000002</v>
      </c>
      <c r="M85">
        <v>2.5999999999999999E-3</v>
      </c>
      <c r="N85">
        <v>0.40029999999999999</v>
      </c>
      <c r="O85" t="s">
        <v>58</v>
      </c>
      <c r="P85">
        <v>0.40400000000000003</v>
      </c>
      <c r="Q85">
        <v>0.40939999999999999</v>
      </c>
      <c r="R85">
        <v>0.41720000000000002</v>
      </c>
      <c r="S85">
        <v>0.42049999999999998</v>
      </c>
      <c r="T85">
        <v>3.3E-3</v>
      </c>
      <c r="U85">
        <v>0.4375</v>
      </c>
    </row>
    <row r="86" spans="1:21" x14ac:dyDescent="0.25">
      <c r="A86" t="str">
        <f t="shared" si="1"/>
        <v>1⁄2-13 or 0.5000-13 UNC CLASS 1</v>
      </c>
      <c r="B86" t="s">
        <v>143</v>
      </c>
      <c r="C86" t="s">
        <v>52</v>
      </c>
      <c r="D86" t="s">
        <v>144</v>
      </c>
      <c r="E86" t="s">
        <v>61</v>
      </c>
      <c r="F86" t="s">
        <v>96</v>
      </c>
      <c r="G86">
        <v>1.5E-3</v>
      </c>
      <c r="H86">
        <v>0.4985</v>
      </c>
      <c r="I86">
        <v>0.48220000000000002</v>
      </c>
      <c r="J86">
        <v>0</v>
      </c>
      <c r="K86">
        <v>0.44850000000000001</v>
      </c>
      <c r="L86">
        <v>0.44109999999999999</v>
      </c>
      <c r="M86">
        <v>7.4000000000000003E-3</v>
      </c>
      <c r="N86">
        <v>0.40689999999999998</v>
      </c>
      <c r="O86" t="s">
        <v>97</v>
      </c>
      <c r="P86">
        <v>0.41699999999999998</v>
      </c>
      <c r="Q86">
        <v>0.434</v>
      </c>
      <c r="R86">
        <v>0.45</v>
      </c>
      <c r="S86">
        <v>0.4597</v>
      </c>
      <c r="T86">
        <v>9.7000000000000003E-3</v>
      </c>
      <c r="U86">
        <v>0.5</v>
      </c>
    </row>
    <row r="87" spans="1:21" x14ac:dyDescent="0.25">
      <c r="A87" t="str">
        <f t="shared" si="1"/>
        <v>1⁄2-13 or 0.5000-13 UNC CLASS 2</v>
      </c>
      <c r="B87" t="s">
        <v>143</v>
      </c>
      <c r="C87" t="s">
        <v>52</v>
      </c>
      <c r="D87" t="s">
        <v>144</v>
      </c>
      <c r="E87" t="s">
        <v>61</v>
      </c>
      <c r="F87" t="s">
        <v>55</v>
      </c>
      <c r="G87">
        <v>1.5E-3</v>
      </c>
      <c r="H87">
        <v>0.4985</v>
      </c>
      <c r="I87">
        <v>0.48759999999999998</v>
      </c>
      <c r="J87">
        <v>0.48220000000000002</v>
      </c>
      <c r="K87">
        <v>0.44850000000000001</v>
      </c>
      <c r="L87">
        <v>0.44350000000000001</v>
      </c>
      <c r="M87">
        <v>4.9649999999999998E-3</v>
      </c>
      <c r="N87">
        <v>0.40689999999999998</v>
      </c>
      <c r="O87" t="s">
        <v>56</v>
      </c>
      <c r="P87">
        <v>0.41699999999999998</v>
      </c>
      <c r="Q87">
        <v>0.434</v>
      </c>
      <c r="R87">
        <v>0.45</v>
      </c>
      <c r="S87">
        <v>0.45650000000000002</v>
      </c>
      <c r="T87">
        <v>6.4999999999999997E-3</v>
      </c>
      <c r="U87">
        <v>0.5</v>
      </c>
    </row>
    <row r="88" spans="1:21" x14ac:dyDescent="0.25">
      <c r="A88" t="str">
        <f t="shared" si="1"/>
        <v>1⁄2-13 or 0.5000-13 UNC CLASS 3</v>
      </c>
      <c r="B88" t="s">
        <v>143</v>
      </c>
      <c r="C88" t="s">
        <v>52</v>
      </c>
      <c r="D88" t="s">
        <v>144</v>
      </c>
      <c r="E88" t="s">
        <v>61</v>
      </c>
      <c r="F88" t="s">
        <v>57</v>
      </c>
      <c r="G88">
        <v>0</v>
      </c>
      <c r="H88">
        <v>0.5</v>
      </c>
      <c r="I88">
        <v>0.48909999999999998</v>
      </c>
      <c r="J88">
        <v>0</v>
      </c>
      <c r="K88">
        <v>0.45</v>
      </c>
      <c r="L88">
        <v>0.44629999999999997</v>
      </c>
      <c r="M88">
        <v>3.7000000000000002E-3</v>
      </c>
      <c r="N88">
        <v>0.40839999999999999</v>
      </c>
      <c r="O88" t="s">
        <v>58</v>
      </c>
      <c r="P88">
        <v>0.41699999999999998</v>
      </c>
      <c r="Q88">
        <v>0.4284</v>
      </c>
      <c r="R88">
        <v>0.45</v>
      </c>
      <c r="S88">
        <v>0.45479999999999998</v>
      </c>
      <c r="T88">
        <v>4.7999999999999996E-3</v>
      </c>
      <c r="U88">
        <v>0.5</v>
      </c>
    </row>
    <row r="89" spans="1:21" x14ac:dyDescent="0.25">
      <c r="A89" t="str">
        <f t="shared" si="1"/>
        <v>1⁄2-16 or 0.5000-16 UN CLASS 2</v>
      </c>
      <c r="B89" t="s">
        <v>145</v>
      </c>
      <c r="C89" t="s">
        <v>52</v>
      </c>
      <c r="D89" t="s">
        <v>146</v>
      </c>
      <c r="E89" t="s">
        <v>98</v>
      </c>
      <c r="F89" t="s">
        <v>55</v>
      </c>
      <c r="G89">
        <v>1.4E-3</v>
      </c>
      <c r="H89">
        <v>0.49859999999999999</v>
      </c>
      <c r="I89">
        <v>0.48920000000000002</v>
      </c>
      <c r="J89">
        <v>0</v>
      </c>
      <c r="K89">
        <v>0.45800000000000002</v>
      </c>
      <c r="L89">
        <v>0.45329999999999998</v>
      </c>
      <c r="M89">
        <v>4.6779999999999999E-3</v>
      </c>
      <c r="N89">
        <v>0.42420000000000002</v>
      </c>
      <c r="O89" t="s">
        <v>56</v>
      </c>
      <c r="P89">
        <v>0.432</v>
      </c>
      <c r="Q89">
        <v>0.44600000000000001</v>
      </c>
      <c r="R89">
        <v>0.45939999999999998</v>
      </c>
      <c r="S89">
        <v>0.46550000000000002</v>
      </c>
      <c r="T89">
        <v>6.1000000000000004E-3</v>
      </c>
      <c r="U89">
        <v>0.5</v>
      </c>
    </row>
    <row r="90" spans="1:21" x14ac:dyDescent="0.25">
      <c r="A90" t="str">
        <f t="shared" si="1"/>
        <v>1⁄2-16 or 0.5000-16 UN CLASS 3</v>
      </c>
      <c r="B90" t="s">
        <v>145</v>
      </c>
      <c r="C90" t="s">
        <v>52</v>
      </c>
      <c r="D90" t="s">
        <v>146</v>
      </c>
      <c r="E90" t="s">
        <v>98</v>
      </c>
      <c r="F90" t="s">
        <v>57</v>
      </c>
      <c r="G90">
        <v>0</v>
      </c>
      <c r="H90">
        <v>0.5</v>
      </c>
      <c r="I90">
        <v>0.49059999999999998</v>
      </c>
      <c r="J90">
        <v>0</v>
      </c>
      <c r="K90">
        <v>0.45939999999999998</v>
      </c>
      <c r="L90">
        <v>0.45590000000000003</v>
      </c>
      <c r="M90">
        <v>3.5000000000000001E-3</v>
      </c>
      <c r="N90">
        <v>0.42559999999999998</v>
      </c>
      <c r="O90" t="s">
        <v>58</v>
      </c>
      <c r="P90">
        <v>0.432</v>
      </c>
      <c r="Q90">
        <v>0.442</v>
      </c>
      <c r="R90">
        <v>0.45939999999999998</v>
      </c>
      <c r="S90">
        <v>0.46400000000000002</v>
      </c>
      <c r="T90">
        <v>4.5999999999999999E-3</v>
      </c>
      <c r="U90">
        <v>0.5</v>
      </c>
    </row>
    <row r="91" spans="1:21" x14ac:dyDescent="0.25">
      <c r="A91" t="str">
        <f t="shared" si="1"/>
        <v>1⁄2-20 or 0.5000-20 UNF CLASS 1</v>
      </c>
      <c r="B91" t="s">
        <v>147</v>
      </c>
      <c r="C91" t="s">
        <v>52</v>
      </c>
      <c r="D91" t="s">
        <v>148</v>
      </c>
      <c r="E91" t="s">
        <v>54</v>
      </c>
      <c r="F91" t="s">
        <v>96</v>
      </c>
      <c r="G91">
        <v>1.2999999999999999E-3</v>
      </c>
      <c r="H91">
        <v>0.49869999999999998</v>
      </c>
      <c r="I91">
        <v>0.48649999999999999</v>
      </c>
      <c r="J91">
        <v>0</v>
      </c>
      <c r="K91">
        <v>0.4662</v>
      </c>
      <c r="L91">
        <v>0.45979999999999999</v>
      </c>
      <c r="M91">
        <v>6.4000000000000003E-3</v>
      </c>
      <c r="N91">
        <v>0.43919999999999998</v>
      </c>
      <c r="O91" t="s">
        <v>97</v>
      </c>
      <c r="P91">
        <v>0.44600000000000001</v>
      </c>
      <c r="Q91">
        <v>0.45700000000000002</v>
      </c>
      <c r="R91">
        <v>0.46750000000000003</v>
      </c>
      <c r="S91">
        <v>0.47589999999999999</v>
      </c>
      <c r="T91">
        <v>8.3999999999999995E-3</v>
      </c>
      <c r="U91">
        <v>0.5</v>
      </c>
    </row>
    <row r="92" spans="1:21" x14ac:dyDescent="0.25">
      <c r="A92" t="str">
        <f t="shared" si="1"/>
        <v>1⁄2-20 or 0.5000-20 UNF CLASS 2</v>
      </c>
      <c r="B92" t="s">
        <v>147</v>
      </c>
      <c r="C92" t="s">
        <v>52</v>
      </c>
      <c r="D92" t="s">
        <v>148</v>
      </c>
      <c r="E92" t="s">
        <v>54</v>
      </c>
      <c r="F92" t="s">
        <v>55</v>
      </c>
      <c r="G92">
        <v>1.2999999999999999E-3</v>
      </c>
      <c r="H92">
        <v>0.49869999999999998</v>
      </c>
      <c r="I92">
        <v>0.49059999999999998</v>
      </c>
      <c r="J92">
        <v>0</v>
      </c>
      <c r="K92">
        <v>0.4662</v>
      </c>
      <c r="L92">
        <v>0.46189999999999998</v>
      </c>
      <c r="M92">
        <v>4.2880000000000001E-3</v>
      </c>
      <c r="N92">
        <v>0.43919999999999998</v>
      </c>
      <c r="O92" t="s">
        <v>56</v>
      </c>
      <c r="P92">
        <v>0.44600000000000001</v>
      </c>
      <c r="Q92">
        <v>0.45700000000000002</v>
      </c>
      <c r="R92">
        <v>0.46750000000000003</v>
      </c>
      <c r="S92">
        <v>0.47310000000000002</v>
      </c>
      <c r="T92">
        <v>5.5999999999999999E-3</v>
      </c>
      <c r="U92">
        <v>0.5</v>
      </c>
    </row>
    <row r="93" spans="1:21" x14ac:dyDescent="0.25">
      <c r="A93" t="str">
        <f t="shared" si="1"/>
        <v>1⁄2-20 or 0.5000-20 UNF CLASS 3</v>
      </c>
      <c r="B93" t="s">
        <v>147</v>
      </c>
      <c r="C93" t="s">
        <v>52</v>
      </c>
      <c r="D93" t="s">
        <v>148</v>
      </c>
      <c r="E93" t="s">
        <v>54</v>
      </c>
      <c r="F93" t="s">
        <v>57</v>
      </c>
      <c r="G93">
        <v>0</v>
      </c>
      <c r="H93">
        <v>0.5</v>
      </c>
      <c r="I93">
        <v>0.4919</v>
      </c>
      <c r="J93">
        <v>0</v>
      </c>
      <c r="K93">
        <v>0.46750000000000003</v>
      </c>
      <c r="L93">
        <v>0.46429999999999999</v>
      </c>
      <c r="M93">
        <v>3.2000000000000002E-3</v>
      </c>
      <c r="N93">
        <v>0.4405</v>
      </c>
      <c r="O93" t="s">
        <v>58</v>
      </c>
      <c r="P93">
        <v>0.44600000000000001</v>
      </c>
      <c r="Q93">
        <v>0.45369999999999999</v>
      </c>
      <c r="R93">
        <v>0.46750000000000003</v>
      </c>
      <c r="S93">
        <v>0.47170000000000001</v>
      </c>
      <c r="T93">
        <v>4.1999999999999997E-3</v>
      </c>
      <c r="U93">
        <v>0.5</v>
      </c>
    </row>
    <row r="94" spans="1:21" x14ac:dyDescent="0.25">
      <c r="A94" t="str">
        <f t="shared" si="1"/>
        <v>1⁄2-28 or 0.5000-28 UNEF CLASS 2</v>
      </c>
      <c r="B94" t="s">
        <v>149</v>
      </c>
      <c r="C94" t="s">
        <v>52</v>
      </c>
      <c r="D94" t="s">
        <v>150</v>
      </c>
      <c r="E94" t="s">
        <v>95</v>
      </c>
      <c r="F94" t="s">
        <v>55</v>
      </c>
      <c r="G94">
        <v>1.1000000000000001E-3</v>
      </c>
      <c r="H94">
        <v>0.49890000000000001</v>
      </c>
      <c r="I94">
        <v>0.4924</v>
      </c>
      <c r="J94">
        <v>0</v>
      </c>
      <c r="K94">
        <v>0.47570000000000001</v>
      </c>
      <c r="L94">
        <v>0.47199999999999998</v>
      </c>
      <c r="M94">
        <v>3.6679999999999998E-3</v>
      </c>
      <c r="N94">
        <v>0.45639999999999997</v>
      </c>
      <c r="O94" t="s">
        <v>56</v>
      </c>
      <c r="P94">
        <v>0.46100000000000002</v>
      </c>
      <c r="Q94">
        <v>0.47</v>
      </c>
      <c r="R94">
        <v>0.4768</v>
      </c>
      <c r="S94">
        <v>0.48159999999999997</v>
      </c>
      <c r="T94">
        <v>4.7999999999999996E-3</v>
      </c>
      <c r="U94">
        <v>0.5</v>
      </c>
    </row>
    <row r="95" spans="1:21" x14ac:dyDescent="0.25">
      <c r="A95" t="str">
        <f t="shared" si="1"/>
        <v>1⁄2-28 or 0.5000-28 UNEF CLASS 3</v>
      </c>
      <c r="B95" t="s">
        <v>149</v>
      </c>
      <c r="C95" t="s">
        <v>52</v>
      </c>
      <c r="D95" t="s">
        <v>150</v>
      </c>
      <c r="E95" t="s">
        <v>95</v>
      </c>
      <c r="F95" t="s">
        <v>57</v>
      </c>
      <c r="G95">
        <v>0</v>
      </c>
      <c r="H95">
        <v>0.5</v>
      </c>
      <c r="I95">
        <v>0.49349999999999999</v>
      </c>
      <c r="J95">
        <v>0</v>
      </c>
      <c r="K95">
        <v>0.4768</v>
      </c>
      <c r="L95">
        <v>0.47399999999999998</v>
      </c>
      <c r="M95">
        <v>2.8E-3</v>
      </c>
      <c r="N95">
        <v>0.45750000000000002</v>
      </c>
      <c r="O95" t="s">
        <v>58</v>
      </c>
      <c r="P95">
        <v>0.46100000000000002</v>
      </c>
      <c r="Q95">
        <v>0.46760000000000002</v>
      </c>
      <c r="R95">
        <v>0.4768</v>
      </c>
      <c r="S95">
        <v>0.48039999999999999</v>
      </c>
      <c r="T95">
        <v>3.5999999999999999E-3</v>
      </c>
      <c r="U95">
        <v>0.5</v>
      </c>
    </row>
    <row r="96" spans="1:21" x14ac:dyDescent="0.25">
      <c r="A96" t="str">
        <f t="shared" si="1"/>
        <v>1⁄2-32 or 0.5000-32 UN CLASS 2</v>
      </c>
      <c r="B96" t="s">
        <v>151</v>
      </c>
      <c r="C96" t="s">
        <v>52</v>
      </c>
      <c r="D96" t="s">
        <v>152</v>
      </c>
      <c r="E96" t="s">
        <v>98</v>
      </c>
      <c r="F96" t="s">
        <v>55</v>
      </c>
      <c r="G96">
        <v>1E-3</v>
      </c>
      <c r="H96">
        <v>0.499</v>
      </c>
      <c r="I96">
        <v>0.49299999999999999</v>
      </c>
      <c r="J96">
        <v>0</v>
      </c>
      <c r="K96">
        <v>0.47870000000000001</v>
      </c>
      <c r="L96">
        <v>0.47520000000000001</v>
      </c>
      <c r="M96">
        <v>3.4749999999999998E-3</v>
      </c>
      <c r="N96">
        <v>0.46179999999999999</v>
      </c>
      <c r="O96" t="s">
        <v>56</v>
      </c>
      <c r="P96">
        <v>0.46600000000000003</v>
      </c>
      <c r="Q96">
        <v>0.47399999999999998</v>
      </c>
      <c r="R96">
        <v>0.47970000000000002</v>
      </c>
      <c r="S96">
        <v>0.48420000000000002</v>
      </c>
      <c r="T96">
        <v>4.4999999999999997E-3</v>
      </c>
      <c r="U96">
        <v>0.5</v>
      </c>
    </row>
    <row r="97" spans="1:21" x14ac:dyDescent="0.25">
      <c r="A97" t="str">
        <f t="shared" si="1"/>
        <v>1⁄2-32 or 0.5000-32 UN CLASS 3</v>
      </c>
      <c r="B97" t="s">
        <v>151</v>
      </c>
      <c r="C97" t="s">
        <v>52</v>
      </c>
      <c r="D97" t="s">
        <v>152</v>
      </c>
      <c r="E97" t="s">
        <v>98</v>
      </c>
      <c r="F97" t="s">
        <v>57</v>
      </c>
      <c r="G97">
        <v>0</v>
      </c>
      <c r="H97">
        <v>0.5</v>
      </c>
      <c r="I97">
        <v>0.49399999999999999</v>
      </c>
      <c r="J97">
        <v>0</v>
      </c>
      <c r="K97">
        <v>0.47970000000000002</v>
      </c>
      <c r="L97">
        <v>0.47710000000000002</v>
      </c>
      <c r="M97">
        <v>2.5999999999999999E-3</v>
      </c>
      <c r="N97">
        <v>0.46279999999999999</v>
      </c>
      <c r="O97" t="s">
        <v>58</v>
      </c>
      <c r="P97">
        <v>0.46600000000000003</v>
      </c>
      <c r="Q97">
        <v>0.47189999999999999</v>
      </c>
      <c r="R97">
        <v>0.47970000000000002</v>
      </c>
      <c r="S97">
        <v>0.48309999999999997</v>
      </c>
      <c r="T97">
        <v>3.3999999999999998E-3</v>
      </c>
      <c r="U97">
        <v>0.5</v>
      </c>
    </row>
    <row r="98" spans="1:21" x14ac:dyDescent="0.25">
      <c r="A98" t="str">
        <f t="shared" si="1"/>
        <v>9⁄16-12 or 0.5625-12 UNC CLASS 1</v>
      </c>
      <c r="B98" t="s">
        <v>153</v>
      </c>
      <c r="C98" t="s">
        <v>52</v>
      </c>
      <c r="D98" t="s">
        <v>154</v>
      </c>
      <c r="E98" t="s">
        <v>61</v>
      </c>
      <c r="F98" t="s">
        <v>96</v>
      </c>
      <c r="G98">
        <v>1.6000000000000001E-3</v>
      </c>
      <c r="H98">
        <v>0.56089999999999995</v>
      </c>
      <c r="I98">
        <v>0.54369999999999996</v>
      </c>
      <c r="J98">
        <v>0</v>
      </c>
      <c r="K98">
        <v>0.50680000000000003</v>
      </c>
      <c r="L98">
        <v>0.499</v>
      </c>
      <c r="M98">
        <v>7.7999999999999996E-3</v>
      </c>
      <c r="N98">
        <v>0.4617</v>
      </c>
      <c r="O98" t="s">
        <v>97</v>
      </c>
      <c r="P98">
        <v>0.47199999999999998</v>
      </c>
      <c r="Q98">
        <v>0.49</v>
      </c>
      <c r="R98">
        <v>0.50839999999999996</v>
      </c>
      <c r="S98">
        <v>0.51859999999999995</v>
      </c>
      <c r="T98">
        <v>1.0200000000000001E-2</v>
      </c>
      <c r="U98">
        <v>0.5625</v>
      </c>
    </row>
    <row r="99" spans="1:21" x14ac:dyDescent="0.25">
      <c r="A99" t="str">
        <f t="shared" si="1"/>
        <v>9⁄16-12 or 0.5625-12 UNC CLASS 2</v>
      </c>
      <c r="B99" t="s">
        <v>153</v>
      </c>
      <c r="C99" t="s">
        <v>52</v>
      </c>
      <c r="D99" t="s">
        <v>154</v>
      </c>
      <c r="E99" t="s">
        <v>61</v>
      </c>
      <c r="F99" t="s">
        <v>55</v>
      </c>
      <c r="G99">
        <v>1.6000000000000001E-3</v>
      </c>
      <c r="H99">
        <v>0.56089999999999995</v>
      </c>
      <c r="I99">
        <v>0.54949999999999999</v>
      </c>
      <c r="J99">
        <v>0.54369999999999996</v>
      </c>
      <c r="K99">
        <v>0.50680000000000003</v>
      </c>
      <c r="L99">
        <v>0.50160000000000005</v>
      </c>
      <c r="M99">
        <v>5.2249999999999996E-3</v>
      </c>
      <c r="N99">
        <v>0.4617</v>
      </c>
      <c r="O99" t="s">
        <v>56</v>
      </c>
      <c r="P99">
        <v>0.47199999999999998</v>
      </c>
      <c r="Q99">
        <v>0.49</v>
      </c>
      <c r="R99">
        <v>0.50839999999999996</v>
      </c>
      <c r="S99">
        <v>0.51519999999999999</v>
      </c>
      <c r="T99">
        <v>6.7999999999999996E-3</v>
      </c>
      <c r="U99">
        <v>0.5625</v>
      </c>
    </row>
    <row r="100" spans="1:21" x14ac:dyDescent="0.25">
      <c r="A100" t="str">
        <f t="shared" si="1"/>
        <v>9⁄16-12 or 0.5625-12 UNC CLASS 3</v>
      </c>
      <c r="B100" t="s">
        <v>153</v>
      </c>
      <c r="C100" t="s">
        <v>52</v>
      </c>
      <c r="D100" t="s">
        <v>154</v>
      </c>
      <c r="E100" t="s">
        <v>61</v>
      </c>
      <c r="F100" t="s">
        <v>57</v>
      </c>
      <c r="G100">
        <v>0</v>
      </c>
      <c r="H100">
        <v>0.5625</v>
      </c>
      <c r="I100">
        <v>0.55110000000000003</v>
      </c>
      <c r="J100">
        <v>0</v>
      </c>
      <c r="K100">
        <v>0.50839999999999996</v>
      </c>
      <c r="L100">
        <v>0.50449999999999995</v>
      </c>
      <c r="M100">
        <v>3.8999999999999998E-3</v>
      </c>
      <c r="N100">
        <v>0.46329999999999999</v>
      </c>
      <c r="O100" t="s">
        <v>58</v>
      </c>
      <c r="P100">
        <v>0.47199999999999998</v>
      </c>
      <c r="Q100">
        <v>0.48430000000000001</v>
      </c>
      <c r="R100">
        <v>0.50839999999999996</v>
      </c>
      <c r="S100">
        <v>0.51349999999999996</v>
      </c>
      <c r="T100">
        <v>5.1000000000000004E-3</v>
      </c>
      <c r="U100">
        <v>0.5625</v>
      </c>
    </row>
    <row r="101" spans="1:21" x14ac:dyDescent="0.25">
      <c r="A101" t="str">
        <f t="shared" si="1"/>
        <v>9⁄16-16 or 0.5625-16 UN CLASS 2</v>
      </c>
      <c r="B101" t="s">
        <v>155</v>
      </c>
      <c r="C101" t="s">
        <v>52</v>
      </c>
      <c r="D101" t="s">
        <v>156</v>
      </c>
      <c r="E101" t="s">
        <v>98</v>
      </c>
      <c r="F101" t="s">
        <v>55</v>
      </c>
      <c r="G101">
        <v>1.4E-3</v>
      </c>
      <c r="H101">
        <v>0.56110000000000004</v>
      </c>
      <c r="I101">
        <v>0.55169999999999997</v>
      </c>
      <c r="J101">
        <v>0</v>
      </c>
      <c r="K101">
        <v>0.52049999999999996</v>
      </c>
      <c r="L101">
        <v>0.51580000000000004</v>
      </c>
      <c r="M101">
        <v>4.725E-3</v>
      </c>
      <c r="N101">
        <v>0.48670000000000002</v>
      </c>
      <c r="O101" t="s">
        <v>56</v>
      </c>
      <c r="P101">
        <v>0.495</v>
      </c>
      <c r="Q101">
        <v>0.50900000000000001</v>
      </c>
      <c r="R101">
        <v>0.52190000000000003</v>
      </c>
      <c r="S101">
        <v>0.52800000000000002</v>
      </c>
      <c r="T101">
        <v>6.1000000000000004E-3</v>
      </c>
      <c r="U101">
        <v>0.5625</v>
      </c>
    </row>
    <row r="102" spans="1:21" x14ac:dyDescent="0.25">
      <c r="A102" t="str">
        <f t="shared" si="1"/>
        <v>9⁄16-16 or 0.5625-16 UN CLASS 3</v>
      </c>
      <c r="B102" t="s">
        <v>155</v>
      </c>
      <c r="C102" t="s">
        <v>52</v>
      </c>
      <c r="D102" t="s">
        <v>156</v>
      </c>
      <c r="E102" t="s">
        <v>98</v>
      </c>
      <c r="F102" t="s">
        <v>57</v>
      </c>
      <c r="G102">
        <v>0</v>
      </c>
      <c r="H102">
        <v>0.5625</v>
      </c>
      <c r="I102">
        <v>0.55310000000000004</v>
      </c>
      <c r="J102">
        <v>0</v>
      </c>
      <c r="K102">
        <v>0.52190000000000003</v>
      </c>
      <c r="L102">
        <v>0.51839999999999997</v>
      </c>
      <c r="M102">
        <v>3.5000000000000001E-3</v>
      </c>
      <c r="N102">
        <v>0.48809999999999998</v>
      </c>
      <c r="O102" t="s">
        <v>58</v>
      </c>
      <c r="P102">
        <v>0.495</v>
      </c>
      <c r="Q102">
        <v>0.50409999999999999</v>
      </c>
      <c r="R102">
        <v>0.52190000000000003</v>
      </c>
      <c r="S102">
        <v>0.52649999999999997</v>
      </c>
      <c r="T102">
        <v>4.5999999999999999E-3</v>
      </c>
      <c r="U102">
        <v>0.5625</v>
      </c>
    </row>
    <row r="103" spans="1:21" x14ac:dyDescent="0.25">
      <c r="A103" t="str">
        <f t="shared" si="1"/>
        <v>9⁄16-18 or 0.5625-18 UNF CLASS 1</v>
      </c>
      <c r="B103" t="s">
        <v>157</v>
      </c>
      <c r="C103" t="s">
        <v>52</v>
      </c>
      <c r="D103" t="s">
        <v>158</v>
      </c>
      <c r="E103" t="s">
        <v>54</v>
      </c>
      <c r="F103" t="s">
        <v>96</v>
      </c>
      <c r="G103">
        <v>1.4E-3</v>
      </c>
      <c r="H103">
        <v>0.56110000000000004</v>
      </c>
      <c r="I103">
        <v>0.54800000000000004</v>
      </c>
      <c r="J103">
        <v>0</v>
      </c>
      <c r="K103">
        <v>0.52500000000000002</v>
      </c>
      <c r="L103">
        <v>0.51819999999999999</v>
      </c>
      <c r="M103">
        <v>6.7999999999999996E-3</v>
      </c>
      <c r="N103">
        <v>0.49490000000000001</v>
      </c>
      <c r="O103" t="s">
        <v>97</v>
      </c>
      <c r="P103">
        <v>0.502</v>
      </c>
      <c r="Q103">
        <v>0.51500000000000001</v>
      </c>
      <c r="R103">
        <v>0.52639999999999998</v>
      </c>
      <c r="S103">
        <v>0.5353</v>
      </c>
      <c r="T103">
        <v>8.8999999999999999E-3</v>
      </c>
      <c r="U103">
        <v>0.5625</v>
      </c>
    </row>
    <row r="104" spans="1:21" x14ac:dyDescent="0.25">
      <c r="A104" t="str">
        <f t="shared" si="1"/>
        <v>9⁄16-18 or 0.5625-18 UNF CLASS 2</v>
      </c>
      <c r="B104" t="s">
        <v>157</v>
      </c>
      <c r="C104" t="s">
        <v>52</v>
      </c>
      <c r="D104" t="s">
        <v>158</v>
      </c>
      <c r="E104" t="s">
        <v>54</v>
      </c>
      <c r="F104" t="s">
        <v>55</v>
      </c>
      <c r="G104">
        <v>1.4E-3</v>
      </c>
      <c r="H104">
        <v>0.56110000000000004</v>
      </c>
      <c r="I104">
        <v>0.5524</v>
      </c>
      <c r="J104">
        <v>0</v>
      </c>
      <c r="K104">
        <v>0.52500000000000002</v>
      </c>
      <c r="L104">
        <v>0.52049999999999996</v>
      </c>
      <c r="M104">
        <v>4.5469999999999998E-3</v>
      </c>
      <c r="N104">
        <v>0.49490000000000001</v>
      </c>
      <c r="O104" t="s">
        <v>56</v>
      </c>
      <c r="P104">
        <v>0.502</v>
      </c>
      <c r="Q104">
        <v>0.51500000000000001</v>
      </c>
      <c r="R104">
        <v>0.52639999999999998</v>
      </c>
      <c r="S104">
        <v>0.5323</v>
      </c>
      <c r="T104">
        <v>5.8999999999999999E-3</v>
      </c>
      <c r="U104">
        <v>0.5625</v>
      </c>
    </row>
    <row r="105" spans="1:21" x14ac:dyDescent="0.25">
      <c r="A105" t="str">
        <f t="shared" si="1"/>
        <v>9⁄16-18 or 0.5625-18 UNF CLASS 3</v>
      </c>
      <c r="B105" t="s">
        <v>157</v>
      </c>
      <c r="C105" t="s">
        <v>52</v>
      </c>
      <c r="D105" t="s">
        <v>158</v>
      </c>
      <c r="E105" t="s">
        <v>54</v>
      </c>
      <c r="F105" t="s">
        <v>57</v>
      </c>
      <c r="G105">
        <v>0</v>
      </c>
      <c r="H105">
        <v>0.5625</v>
      </c>
      <c r="I105">
        <v>0.55379999999999996</v>
      </c>
      <c r="J105">
        <v>0</v>
      </c>
      <c r="K105">
        <v>0.52639999999999998</v>
      </c>
      <c r="L105">
        <v>0.52300000000000002</v>
      </c>
      <c r="M105">
        <v>3.3999999999999998E-3</v>
      </c>
      <c r="N105">
        <v>0.49630000000000002</v>
      </c>
      <c r="O105" t="s">
        <v>58</v>
      </c>
      <c r="P105">
        <v>0.502</v>
      </c>
      <c r="Q105">
        <v>0.51060000000000005</v>
      </c>
      <c r="R105">
        <v>0.52639999999999998</v>
      </c>
      <c r="S105">
        <v>0.53080000000000005</v>
      </c>
      <c r="T105">
        <v>4.4000000000000003E-3</v>
      </c>
      <c r="U105">
        <v>0.5625</v>
      </c>
    </row>
    <row r="106" spans="1:21" x14ac:dyDescent="0.25">
      <c r="A106" t="str">
        <f t="shared" si="1"/>
        <v>9⁄16-20 or 0.5625-20 UN CLASS 2</v>
      </c>
      <c r="B106" t="s">
        <v>159</v>
      </c>
      <c r="C106" t="s">
        <v>52</v>
      </c>
      <c r="D106" t="s">
        <v>160</v>
      </c>
      <c r="E106" t="s">
        <v>98</v>
      </c>
      <c r="F106" t="s">
        <v>55</v>
      </c>
      <c r="G106">
        <v>1.2999999999999999E-3</v>
      </c>
      <c r="H106">
        <v>0.56120000000000003</v>
      </c>
      <c r="I106">
        <v>0.55310000000000004</v>
      </c>
      <c r="J106">
        <v>0</v>
      </c>
      <c r="K106">
        <v>0.52869999999999995</v>
      </c>
      <c r="L106">
        <v>0.52439999999999998</v>
      </c>
      <c r="M106">
        <v>4.28E-3</v>
      </c>
      <c r="N106">
        <v>0.50170000000000003</v>
      </c>
      <c r="O106" t="s">
        <v>56</v>
      </c>
      <c r="P106">
        <v>0.50800000000000001</v>
      </c>
      <c r="Q106">
        <v>0.52</v>
      </c>
      <c r="R106">
        <v>0.53</v>
      </c>
      <c r="S106">
        <v>0.53559999999999997</v>
      </c>
      <c r="T106">
        <v>5.5999999999999999E-3</v>
      </c>
      <c r="U106">
        <v>0.5625</v>
      </c>
    </row>
    <row r="107" spans="1:21" x14ac:dyDescent="0.25">
      <c r="A107" t="str">
        <f t="shared" si="1"/>
        <v>9⁄16-20 or 0.5625-20 UN CLASS 3</v>
      </c>
      <c r="B107" t="s">
        <v>159</v>
      </c>
      <c r="C107" t="s">
        <v>52</v>
      </c>
      <c r="D107" t="s">
        <v>160</v>
      </c>
      <c r="E107" t="s">
        <v>98</v>
      </c>
      <c r="F107" t="s">
        <v>57</v>
      </c>
      <c r="G107">
        <v>0</v>
      </c>
      <c r="H107">
        <v>0.5625</v>
      </c>
      <c r="I107">
        <v>0.5544</v>
      </c>
      <c r="J107">
        <v>0</v>
      </c>
      <c r="K107">
        <v>0.53</v>
      </c>
      <c r="L107">
        <v>0.52680000000000005</v>
      </c>
      <c r="M107">
        <v>3.2000000000000002E-3</v>
      </c>
      <c r="N107">
        <v>0.503</v>
      </c>
      <c r="O107" t="s">
        <v>58</v>
      </c>
      <c r="P107">
        <v>0.50800000000000001</v>
      </c>
      <c r="Q107">
        <v>0.5161</v>
      </c>
      <c r="R107">
        <v>0.53</v>
      </c>
      <c r="S107">
        <v>0.53420000000000001</v>
      </c>
      <c r="T107">
        <v>4.1999999999999997E-3</v>
      </c>
      <c r="U107">
        <v>0.5625</v>
      </c>
    </row>
    <row r="108" spans="1:21" x14ac:dyDescent="0.25">
      <c r="A108" t="str">
        <f t="shared" si="1"/>
        <v>9⁄16-24 or 0.5625-24 UNEF CLASS 2</v>
      </c>
      <c r="B108" t="s">
        <v>161</v>
      </c>
      <c r="C108" t="s">
        <v>52</v>
      </c>
      <c r="D108" t="s">
        <v>162</v>
      </c>
      <c r="E108" t="s">
        <v>95</v>
      </c>
      <c r="F108" t="s">
        <v>55</v>
      </c>
      <c r="G108">
        <v>1.1999999999999999E-3</v>
      </c>
      <c r="H108">
        <v>0.56130000000000002</v>
      </c>
      <c r="I108">
        <v>0.55410000000000004</v>
      </c>
      <c r="J108">
        <v>0</v>
      </c>
      <c r="K108">
        <v>0.53420000000000001</v>
      </c>
      <c r="L108">
        <v>0.5302</v>
      </c>
      <c r="M108">
        <v>3.96E-3</v>
      </c>
      <c r="N108">
        <v>0.51170000000000004</v>
      </c>
      <c r="O108" t="s">
        <v>56</v>
      </c>
      <c r="P108">
        <v>0.51700000000000002</v>
      </c>
      <c r="Q108">
        <v>0.52700000000000002</v>
      </c>
      <c r="R108">
        <v>0.53539999999999999</v>
      </c>
      <c r="S108">
        <v>0.54049999999999998</v>
      </c>
      <c r="T108">
        <v>5.1000000000000004E-3</v>
      </c>
      <c r="U108">
        <v>0.5625</v>
      </c>
    </row>
    <row r="109" spans="1:21" x14ac:dyDescent="0.25">
      <c r="A109" t="str">
        <f t="shared" si="1"/>
        <v>9⁄16-24 or 0.5625-24 UNEF CLASS 3</v>
      </c>
      <c r="B109" t="s">
        <v>161</v>
      </c>
      <c r="C109" t="s">
        <v>52</v>
      </c>
      <c r="D109" t="s">
        <v>162</v>
      </c>
      <c r="E109" t="s">
        <v>95</v>
      </c>
      <c r="F109" t="s">
        <v>57</v>
      </c>
      <c r="G109">
        <v>0</v>
      </c>
      <c r="H109">
        <v>0.5625</v>
      </c>
      <c r="I109">
        <v>0.55530000000000002</v>
      </c>
      <c r="J109">
        <v>0</v>
      </c>
      <c r="K109">
        <v>0.53539999999999999</v>
      </c>
      <c r="L109">
        <v>0.53239999999999998</v>
      </c>
      <c r="M109">
        <v>3.0000000000000001E-3</v>
      </c>
      <c r="N109">
        <v>0.51290000000000002</v>
      </c>
      <c r="O109" t="s">
        <v>58</v>
      </c>
      <c r="P109">
        <v>0.51700000000000002</v>
      </c>
      <c r="Q109">
        <v>0.52439999999999998</v>
      </c>
      <c r="R109">
        <v>0.53539999999999999</v>
      </c>
      <c r="S109">
        <v>0.5393</v>
      </c>
      <c r="T109">
        <v>3.8999999999999998E-3</v>
      </c>
      <c r="U109">
        <v>0.5625</v>
      </c>
    </row>
  </sheetData>
  <pageMargins left="0.7" right="0.7" top="0.75" bottom="0.75" header="0.3" footer="0.3"/>
  <pageSetup paperSize="14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Bolt in a Tapped Hole</vt:lpstr>
      <vt:lpstr>Manual Bolt Geometry</vt:lpstr>
      <vt:lpstr>ASME B1.1-2003 Dimensions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2022-02-04T03:34:42Z</dcterms:created>
  <dcterms:modified xsi:type="dcterms:W3CDTF">2022-02-24T04:01:39Z</dcterms:modified>
</cp:coreProperties>
</file>