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32987F1B-7EAA-468D-B5DF-C85641D86B78}" xr6:coauthVersionLast="47" xr6:coauthVersionMax="47" xr10:uidLastSave="{00000000-0000-0000-0000-000000000000}"/>
  <bookViews>
    <workbookView xWindow="38280" yWindow="-120" windowWidth="29040" windowHeight="15840" xr2:uid="{6F0B30F9-4582-4E2D-A35A-950F4E72D355}"/>
  </bookViews>
  <sheets>
    <sheet name="Bolt in a Tapped Ho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" i="1" l="1"/>
  <c r="J25" i="1"/>
  <c r="K24" i="1"/>
  <c r="J24" i="1"/>
  <c r="J23" i="1"/>
  <c r="K22" i="1"/>
  <c r="J22" i="1"/>
  <c r="K21" i="1"/>
  <c r="J21" i="1"/>
  <c r="M14" i="1"/>
  <c r="M12" i="1"/>
  <c r="L16" i="1"/>
  <c r="L12" i="1"/>
  <c r="K15" i="1"/>
  <c r="M15" i="1" s="1"/>
  <c r="J15" i="1"/>
  <c r="L15" i="1" s="1"/>
  <c r="K14" i="1"/>
  <c r="J13" i="1"/>
  <c r="J14" i="1" s="1"/>
  <c r="L14" i="1" s="1"/>
  <c r="K13" i="1"/>
  <c r="M13" i="1" s="1"/>
  <c r="K16" i="1"/>
  <c r="M16" i="1" s="1"/>
  <c r="J16" i="1"/>
  <c r="J12" i="1"/>
  <c r="F33" i="1"/>
  <c r="E33" i="1"/>
  <c r="F31" i="1"/>
  <c r="E31" i="1"/>
  <c r="F30" i="1"/>
  <c r="E30" i="1"/>
  <c r="F24" i="1"/>
  <c r="E24" i="1"/>
  <c r="F23" i="1"/>
  <c r="E23" i="1"/>
  <c r="F22" i="1"/>
  <c r="E22" i="1"/>
  <c r="F16" i="1"/>
  <c r="E16" i="1"/>
  <c r="F15" i="1"/>
  <c r="E15" i="1"/>
  <c r="F14" i="1"/>
  <c r="E14" i="1"/>
  <c r="F8" i="1"/>
  <c r="E8" i="1"/>
  <c r="F7" i="1"/>
  <c r="E7" i="1"/>
  <c r="F6" i="1"/>
  <c r="E6" i="1"/>
  <c r="F5" i="1"/>
  <c r="E5" i="1"/>
  <c r="F3" i="1"/>
  <c r="E3" i="1"/>
  <c r="L13" i="1" l="1"/>
</calcChain>
</file>

<file path=xl/sharedStrings.xml><?xml version="1.0" encoding="utf-8"?>
<sst xmlns="http://schemas.openxmlformats.org/spreadsheetml/2006/main" count="83" uniqueCount="41">
  <si>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</si>
  <si>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</si>
  <si>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</si>
  <si>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</si>
  <si>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</si>
  <si>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</si>
  <si>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</si>
  <si>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</si>
  <si>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</si>
  <si>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</si>
  <si>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</si>
  <si>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</si>
  <si>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</si>
  <si>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</si>
  <si>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</si>
  <si>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</si>
  <si>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</si>
  <si>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</si>
  <si>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</si>
  <si>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</si>
  <si>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</si>
  <si>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</si>
  <si>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</si>
  <si>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</si>
  <si>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</si>
  <si>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</si>
  <si>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</si>
  <si>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</si>
  <si>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</si>
  <si>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</si>
  <si>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</si>
  <si>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</si>
  <si>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</si>
  <si>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</si>
  <si>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</si>
  <si>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</si>
  <si>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</si>
  <si>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Right Washer</t>
  </si>
  <si>
    <t>Left Plate</t>
  </si>
  <si>
    <t>Right Plate</t>
  </si>
  <si>
    <t>Bottom of the Washer is defined as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</si>
</sst>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Hole'!$J$12:$J$16</c:f>
              <c:numCache>
                <c:formatCode>General</c:formatCode>
                <c:ptCount val="5"/>
                <c:pt idx="0">
                  <c:v>-0.3125</c:v>
                </c:pt>
                <c:pt idx="1">
                  <c:v>-0.13</c:v>
                </c:pt>
                <c:pt idx="2">
                  <c:v>-0.13</c:v>
                </c:pt>
                <c:pt idx="3">
                  <c:v>-0.3125</c:v>
                </c:pt>
                <c:pt idx="4">
                  <c:v>-0.3125</c:v>
                </c:pt>
              </c:numCache>
            </c:numRef>
          </c:xVal>
          <c:yVal>
            <c:numRef>
              <c:f>'Bolt in a Tapped Hole'!$K$12:$K$16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1"/>
          <c:order val="1"/>
          <c:tx>
            <c:v>Washer Right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'Bolt in a Tapped Hole'!$L$12:$L$16</c:f>
              <c:numCache>
                <c:formatCode>General</c:formatCode>
                <c:ptCount val="5"/>
                <c:pt idx="0">
                  <c:v>0.3125</c:v>
                </c:pt>
                <c:pt idx="1">
                  <c:v>0.13</c:v>
                </c:pt>
                <c:pt idx="2">
                  <c:v>0.13</c:v>
                </c:pt>
                <c:pt idx="3">
                  <c:v>0.3125</c:v>
                </c:pt>
                <c:pt idx="4">
                  <c:v>0.3125</c:v>
                </c:pt>
              </c:numCache>
            </c:numRef>
          </c:xVal>
          <c:yVal>
            <c:numRef>
              <c:f>'Bolt in a Tapped Hole'!$M$12:$M$16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80-4FF2-AA32-8E28F829200E}"/>
            </c:ext>
          </c:extLst>
        </c:ser>
        <c:ser>
          <c:idx val="2"/>
          <c:order val="2"/>
          <c:tx>
            <c:strRef>
              <c:f>'Bolt in a Tapped Hole'!$J$19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Hole'!$J$21:$J$25</c:f>
              <c:numCache>
                <c:formatCode>General</c:formatCode>
                <c:ptCount val="5"/>
                <c:pt idx="0">
                  <c:v>-0.375</c:v>
                </c:pt>
                <c:pt idx="1">
                  <c:v>-0.13</c:v>
                </c:pt>
                <c:pt idx="2">
                  <c:v>-0.13</c:v>
                </c:pt>
                <c:pt idx="3">
                  <c:v>-0.375</c:v>
                </c:pt>
                <c:pt idx="4">
                  <c:v>-0.375</c:v>
                </c:pt>
              </c:numCache>
            </c:numRef>
          </c:xVal>
          <c:yVal>
            <c:numRef>
              <c:f>'Bolt in a Tapped Hole'!$K$21:$K$25</c:f>
              <c:numCache>
                <c:formatCode>General</c:formatCode>
                <c:ptCount val="5"/>
                <c:pt idx="0">
                  <c:v>-0.5</c:v>
                </c:pt>
                <c:pt idx="1">
                  <c:v>-0.5</c:v>
                </c:pt>
                <c:pt idx="2">
                  <c:v>0</c:v>
                </c:pt>
                <c:pt idx="3">
                  <c:v>0</c:v>
                </c:pt>
                <c:pt idx="4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280987</xdr:colOff>
      <xdr:row>30</xdr:row>
      <xdr:rowOff>4762</xdr:rowOff>
    </xdr:from>
    <xdr:to>
      <xdr:col>15</xdr:col>
      <xdr:colOff>204787</xdr:colOff>
      <xdr:row>44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dimension ref="A1:M33"/>
  <sheetViews>
    <sheetView tabSelected="1" topLeftCell="A10" workbookViewId="0">
      <selection activeCell="B15" sqref="B15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1" width="12" bestFit="1" customWidth="1"/>
    <col min="12" max="12" width="12.7109375" bestFit="1" customWidth="1"/>
  </cols>
  <sheetData>
    <row r="1" spans="1:13" x14ac:dyDescent="0.25">
      <c r="A1" s="1" t="s">
        <v>8</v>
      </c>
      <c r="B1" s="1"/>
      <c r="C1" s="1"/>
      <c r="D1" s="1"/>
      <c r="E1" s="1"/>
      <c r="F1" s="1"/>
      <c r="G1" s="1"/>
    </row>
    <row r="2" spans="1:13" x14ac:dyDescent="0.25">
      <c r="A2" t="s">
        <v>0</v>
      </c>
      <c r="B2" t="s">
        <v>7</v>
      </c>
      <c r="C2" t="s">
        <v>30</v>
      </c>
      <c r="D2" t="s">
        <v>31</v>
      </c>
      <c r="E2" t="s">
        <v>32</v>
      </c>
      <c r="F2" t="s">
        <v>33</v>
      </c>
      <c r="G2" t="s">
        <v>1</v>
      </c>
    </row>
    <row r="3" spans="1:13" x14ac:dyDescent="0.25">
      <c r="A3" t="s">
        <v>27</v>
      </c>
      <c r="B3">
        <v>0.25</v>
      </c>
      <c r="C3">
        <v>0.01</v>
      </c>
      <c r="D3">
        <v>0.01</v>
      </c>
      <c r="E3">
        <f>B3-C3</f>
        <v>0.24</v>
      </c>
      <c r="F3">
        <f>B3+D3</f>
        <v>0.26</v>
      </c>
      <c r="G3" t="s">
        <v>2</v>
      </c>
    </row>
    <row r="4" spans="1:13" x14ac:dyDescent="0.25">
      <c r="A4" t="s">
        <v>3</v>
      </c>
      <c r="B4">
        <v>20</v>
      </c>
      <c r="G4" t="s">
        <v>4</v>
      </c>
    </row>
    <row r="5" spans="1:13" x14ac:dyDescent="0.25">
      <c r="A5" t="s">
        <v>5</v>
      </c>
      <c r="B5">
        <v>1</v>
      </c>
      <c r="C5">
        <v>0.01</v>
      </c>
      <c r="D5">
        <v>0.01</v>
      </c>
      <c r="E5">
        <f>B5-C5</f>
        <v>0.99</v>
      </c>
      <c r="F5">
        <f>B5+D5</f>
        <v>1.01</v>
      </c>
      <c r="G5" t="s">
        <v>2</v>
      </c>
    </row>
    <row r="6" spans="1:13" x14ac:dyDescent="0.25">
      <c r="A6" t="s">
        <v>6</v>
      </c>
      <c r="B6">
        <v>1</v>
      </c>
      <c r="C6">
        <v>0.01</v>
      </c>
      <c r="D6">
        <v>0.01</v>
      </c>
      <c r="E6">
        <f>B6-C6</f>
        <v>0.99</v>
      </c>
      <c r="F6">
        <f>B6+D6</f>
        <v>1.01</v>
      </c>
      <c r="G6" t="s">
        <v>2</v>
      </c>
    </row>
    <row r="7" spans="1:13" x14ac:dyDescent="0.25">
      <c r="A7" t="s">
        <v>9</v>
      </c>
      <c r="B7">
        <v>0.375</v>
      </c>
      <c r="C7">
        <v>0.01</v>
      </c>
      <c r="D7">
        <v>0.01</v>
      </c>
      <c r="E7">
        <f>B7-C7</f>
        <v>0.36499999999999999</v>
      </c>
      <c r="F7">
        <f>B7+D7</f>
        <v>0.38500000000000001</v>
      </c>
      <c r="G7" t="s">
        <v>2</v>
      </c>
    </row>
    <row r="8" spans="1:13" x14ac:dyDescent="0.25">
      <c r="A8" t="s">
        <v>10</v>
      </c>
      <c r="B8">
        <v>0.375</v>
      </c>
      <c r="C8">
        <v>0.01</v>
      </c>
      <c r="D8">
        <v>0.01</v>
      </c>
      <c r="E8">
        <f>B8-C8</f>
        <v>0.36499999999999999</v>
      </c>
      <c r="F8">
        <f>B8+D8</f>
        <v>0.38500000000000001</v>
      </c>
      <c r="G8" t="s">
        <v>2</v>
      </c>
      <c r="J8" t="s">
        <v>40</v>
      </c>
    </row>
    <row r="10" spans="1:13" x14ac:dyDescent="0.25">
      <c r="A10" t="s">
        <v>15</v>
      </c>
      <c r="J10" t="s">
        <v>36</v>
      </c>
      <c r="L10" t="s">
        <v>37</v>
      </c>
    </row>
    <row r="11" spans="1:13" x14ac:dyDescent="0.25">
      <c r="A11" t="s">
        <v>0</v>
      </c>
      <c r="B11" t="s">
        <v>7</v>
      </c>
      <c r="G11" t="s">
        <v>1</v>
      </c>
      <c r="J11" t="s">
        <v>34</v>
      </c>
      <c r="K11" t="s">
        <v>35</v>
      </c>
      <c r="L11" t="s">
        <v>34</v>
      </c>
      <c r="M11" t="s">
        <v>35</v>
      </c>
    </row>
    <row r="12" spans="1:13" x14ac:dyDescent="0.25">
      <c r="A12" t="s">
        <v>11</v>
      </c>
      <c r="B12" t="s">
        <v>22</v>
      </c>
      <c r="G12" t="s">
        <v>14</v>
      </c>
      <c r="J12">
        <f>-B16/2</f>
        <v>-0.3125</v>
      </c>
      <c r="K12">
        <v>0</v>
      </c>
      <c r="L12">
        <f>-J12</f>
        <v>0.3125</v>
      </c>
      <c r="M12">
        <f>K12</f>
        <v>0</v>
      </c>
    </row>
    <row r="13" spans="1:13" x14ac:dyDescent="0.25">
      <c r="A13" t="s">
        <v>21</v>
      </c>
      <c r="B13" t="s">
        <v>12</v>
      </c>
      <c r="G13" t="s">
        <v>14</v>
      </c>
      <c r="J13">
        <f>-B15/2</f>
        <v>-0.13</v>
      </c>
      <c r="K13">
        <f>K12</f>
        <v>0</v>
      </c>
      <c r="L13">
        <f t="shared" ref="L13:L16" si="0">-J13</f>
        <v>0.13</v>
      </c>
      <c r="M13">
        <f t="shared" ref="M13:M16" si="1">K13</f>
        <v>0</v>
      </c>
    </row>
    <row r="14" spans="1:13" x14ac:dyDescent="0.25">
      <c r="A14" t="s">
        <v>13</v>
      </c>
      <c r="B14">
        <v>0.05</v>
      </c>
      <c r="C14">
        <v>0.01</v>
      </c>
      <c r="D14">
        <v>0.01</v>
      </c>
      <c r="E14">
        <f>B14-C14</f>
        <v>0.04</v>
      </c>
      <c r="F14">
        <f>B14+D14</f>
        <v>6.0000000000000005E-2</v>
      </c>
      <c r="G14" t="s">
        <v>2</v>
      </c>
      <c r="J14">
        <f>J13</f>
        <v>-0.13</v>
      </c>
      <c r="K14">
        <f>B14</f>
        <v>0.05</v>
      </c>
      <c r="L14">
        <f t="shared" si="0"/>
        <v>0.13</v>
      </c>
      <c r="M14">
        <f t="shared" si="1"/>
        <v>0.05</v>
      </c>
    </row>
    <row r="15" spans="1:13" x14ac:dyDescent="0.25">
      <c r="A15" t="s">
        <v>16</v>
      </c>
      <c r="B15">
        <v>0.26</v>
      </c>
      <c r="C15">
        <v>0.01</v>
      </c>
      <c r="D15">
        <v>0.01</v>
      </c>
      <c r="E15">
        <f>B15-C15</f>
        <v>0.25</v>
      </c>
      <c r="F15">
        <f>B15+D15</f>
        <v>0.27</v>
      </c>
      <c r="G15" t="s">
        <v>2</v>
      </c>
      <c r="J15">
        <f>J12</f>
        <v>-0.3125</v>
      </c>
      <c r="K15">
        <f>K14</f>
        <v>0.05</v>
      </c>
      <c r="L15">
        <f t="shared" si="0"/>
        <v>0.3125</v>
      </c>
      <c r="M15">
        <f t="shared" si="1"/>
        <v>0.05</v>
      </c>
    </row>
    <row r="16" spans="1:13" x14ac:dyDescent="0.25">
      <c r="A16" t="s">
        <v>20</v>
      </c>
      <c r="B16">
        <v>0.625</v>
      </c>
      <c r="C16">
        <v>0.01</v>
      </c>
      <c r="D16">
        <v>0.01</v>
      </c>
      <c r="E16">
        <f>B16-C16</f>
        <v>0.61499999999999999</v>
      </c>
      <c r="F16">
        <f>B16+D16</f>
        <v>0.63500000000000001</v>
      </c>
      <c r="G16" t="s">
        <v>2</v>
      </c>
      <c r="J16">
        <f>J12</f>
        <v>-0.3125</v>
      </c>
      <c r="K16">
        <f>K12</f>
        <v>0</v>
      </c>
      <c r="L16">
        <f t="shared" si="0"/>
        <v>0.3125</v>
      </c>
      <c r="M16">
        <f t="shared" si="1"/>
        <v>0</v>
      </c>
    </row>
    <row r="18" spans="1:13" x14ac:dyDescent="0.25">
      <c r="A18" t="s">
        <v>17</v>
      </c>
    </row>
    <row r="19" spans="1:13" x14ac:dyDescent="0.25">
      <c r="A19" t="s">
        <v>0</v>
      </c>
      <c r="B19" t="s">
        <v>7</v>
      </c>
      <c r="G19" t="s">
        <v>1</v>
      </c>
      <c r="J19" t="s">
        <v>38</v>
      </c>
      <c r="L19" t="s">
        <v>39</v>
      </c>
    </row>
    <row r="20" spans="1:13" x14ac:dyDescent="0.25">
      <c r="A20" t="s">
        <v>11</v>
      </c>
      <c r="B20" t="s">
        <v>18</v>
      </c>
      <c r="G20" t="s">
        <v>14</v>
      </c>
      <c r="J20" t="s">
        <v>34</v>
      </c>
      <c r="K20" t="s">
        <v>35</v>
      </c>
      <c r="L20" t="s">
        <v>34</v>
      </c>
      <c r="M20" t="s">
        <v>35</v>
      </c>
    </row>
    <row r="21" spans="1:13" x14ac:dyDescent="0.25">
      <c r="A21" t="s">
        <v>21</v>
      </c>
      <c r="B21" t="s">
        <v>23</v>
      </c>
      <c r="G21" t="s">
        <v>14</v>
      </c>
      <c r="J21">
        <f>-B24</f>
        <v>-0.375</v>
      </c>
      <c r="K21">
        <f>-B22</f>
        <v>-0.5</v>
      </c>
    </row>
    <row r="22" spans="1:13" x14ac:dyDescent="0.25">
      <c r="A22" t="s">
        <v>13</v>
      </c>
      <c r="B22">
        <v>0.5</v>
      </c>
      <c r="C22">
        <v>0.01</v>
      </c>
      <c r="D22">
        <v>0.01</v>
      </c>
      <c r="E22">
        <f>B22-C22</f>
        <v>0.49</v>
      </c>
      <c r="F22">
        <f>B22+D22</f>
        <v>0.51</v>
      </c>
      <c r="G22" t="s">
        <v>2</v>
      </c>
      <c r="J22">
        <f>-B23/2</f>
        <v>-0.13</v>
      </c>
      <c r="K22">
        <f>K21</f>
        <v>-0.5</v>
      </c>
    </row>
    <row r="23" spans="1:13" x14ac:dyDescent="0.25">
      <c r="A23" t="s">
        <v>16</v>
      </c>
      <c r="B23">
        <v>0.26</v>
      </c>
      <c r="C23">
        <v>0.01</v>
      </c>
      <c r="D23">
        <v>0.01</v>
      </c>
      <c r="E23">
        <f>B23-C23</f>
        <v>0.25</v>
      </c>
      <c r="F23">
        <f>B23+D23</f>
        <v>0.27</v>
      </c>
      <c r="G23" t="s">
        <v>2</v>
      </c>
      <c r="J23">
        <f>J22</f>
        <v>-0.13</v>
      </c>
      <c r="K23">
        <v>0</v>
      </c>
    </row>
    <row r="24" spans="1:13" x14ac:dyDescent="0.25">
      <c r="A24" t="s">
        <v>19</v>
      </c>
      <c r="B24">
        <v>0.375</v>
      </c>
      <c r="C24">
        <v>0.01</v>
      </c>
      <c r="D24">
        <v>0.01</v>
      </c>
      <c r="E24">
        <f>B24-C24</f>
        <v>0.36499999999999999</v>
      </c>
      <c r="F24">
        <f>B24+D24</f>
        <v>0.38500000000000001</v>
      </c>
      <c r="G24" t="s">
        <v>2</v>
      </c>
      <c r="J24">
        <f>J21</f>
        <v>-0.375</v>
      </c>
      <c r="K24">
        <f>K23</f>
        <v>0</v>
      </c>
    </row>
    <row r="25" spans="1:13" x14ac:dyDescent="0.25">
      <c r="J25">
        <f>J21</f>
        <v>-0.375</v>
      </c>
      <c r="K25">
        <f>K21</f>
        <v>-0.5</v>
      </c>
    </row>
    <row r="26" spans="1:13" x14ac:dyDescent="0.25">
      <c r="A26" t="s">
        <v>29</v>
      </c>
    </row>
    <row r="27" spans="1:13" x14ac:dyDescent="0.25">
      <c r="A27" t="s">
        <v>0</v>
      </c>
      <c r="B27" t="s">
        <v>7</v>
      </c>
      <c r="G27" t="s">
        <v>1</v>
      </c>
    </row>
    <row r="28" spans="1:13" x14ac:dyDescent="0.25">
      <c r="A28" t="s">
        <v>11</v>
      </c>
      <c r="B28" t="s">
        <v>25</v>
      </c>
      <c r="G28" t="s">
        <v>14</v>
      </c>
    </row>
    <row r="29" spans="1:13" x14ac:dyDescent="0.25">
      <c r="A29" t="s">
        <v>21</v>
      </c>
      <c r="B29" t="s">
        <v>24</v>
      </c>
      <c r="G29" t="s">
        <v>14</v>
      </c>
    </row>
    <row r="30" spans="1:13" x14ac:dyDescent="0.25">
      <c r="A30" t="s">
        <v>13</v>
      </c>
      <c r="B30">
        <v>1</v>
      </c>
      <c r="C30">
        <v>0.01</v>
      </c>
      <c r="D30">
        <v>0.01</v>
      </c>
      <c r="E30">
        <f>B30-C30</f>
        <v>0.99</v>
      </c>
      <c r="F30">
        <f>B30+D30</f>
        <v>1.01</v>
      </c>
      <c r="G30" t="s">
        <v>2</v>
      </c>
    </row>
    <row r="31" spans="1:13" x14ac:dyDescent="0.25">
      <c r="A31" t="s">
        <v>26</v>
      </c>
      <c r="B31">
        <v>0.25</v>
      </c>
      <c r="C31">
        <v>0.01</v>
      </c>
      <c r="D31">
        <v>0.01</v>
      </c>
      <c r="E31">
        <f>B31-C31</f>
        <v>0.24</v>
      </c>
      <c r="F31">
        <f>B31+D31</f>
        <v>0.26</v>
      </c>
      <c r="G31" t="s">
        <v>2</v>
      </c>
    </row>
    <row r="32" spans="1:13" x14ac:dyDescent="0.25">
      <c r="A32" t="s">
        <v>3</v>
      </c>
      <c r="B32">
        <v>20</v>
      </c>
      <c r="G32" t="s">
        <v>28</v>
      </c>
    </row>
    <row r="33" spans="1:7" x14ac:dyDescent="0.25">
      <c r="A33" t="s">
        <v>19</v>
      </c>
      <c r="B33">
        <v>0.375</v>
      </c>
      <c r="C33">
        <v>0.01</v>
      </c>
      <c r="D33">
        <v>0.01</v>
      </c>
      <c r="E33">
        <f>B33-C33</f>
        <v>0.36499999999999999</v>
      </c>
      <c r="F33">
        <f>B33+D33</f>
        <v>0.38500000000000001</v>
      </c>
      <c r="G33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Bolt in a Tapped Hole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2022-02-04T04:23:02Z</dcterms:modified>
</cp:coreProperties>
</file>