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3E5819C0-F762-4955-9D77-9B0CB1816F0E}" xr6:coauthVersionLast="47" xr6:coauthVersionMax="47" xr10:uidLastSave="{00000000-0000-0000-0000-000000000000}"/>
  <bookViews>
    <workbookView xWindow="-120" yWindow="-120" windowWidth="38640" windowHeight="2124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3" i="3" l="1"/>
  <c r="B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B36" i="3" a="1"/>
  <c r="B15" i="3" a="1"/>
  <c r="B21" i="3" a="1"/>
  <c r="D19" i="3" a="1"/>
  <c r="B22" i="3" a="1"/>
  <c r="B20" i="3" a="1"/>
  <c r="B16" i="3" a="1"/>
  <c r="D20" i="3" a="1"/>
  <c r="B19" i="3" a="1"/>
  <c r="D15" i="3" a="1"/>
  <c r="D17" i="3" a="1"/>
  <c r="D18" i="3" a="1"/>
  <c r="B17" i="3" a="1"/>
  <c r="D21" i="3" a="1"/>
  <c r="D16" i="3" a="1"/>
  <c r="B18" i="3" a="1"/>
  <c r="B13" i="3" a="1"/>
  <c r="B36" i="3" l="1"/>
  <c r="B18" i="3"/>
  <c r="D16" i="3"/>
  <c r="D21" i="3"/>
  <c r="B17" i="3"/>
  <c r="D18" i="3"/>
  <c r="D17" i="3"/>
  <c r="D15" i="3"/>
  <c r="B19" i="3"/>
  <c r="D20" i="3"/>
  <c r="B16" i="3"/>
  <c r="B20" i="3"/>
  <c r="B22" i="3"/>
  <c r="D19" i="3"/>
  <c r="B21" i="3"/>
  <c r="B15" i="3"/>
  <c r="B13" i="3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<sst xmlns="http://schemas.openxmlformats.org/spreadsheetml/2006/main" count="810" uniqueCount="213">
  <si>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</si>
  <si>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</si>
  <si>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</si>
  <si>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</si>
  <si>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</si>
  <si>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</si>
  <si>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</si>
  <si>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</si>
  <si>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</si>
  <si>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</si>
  <si>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</si>
  <si>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</si>
  <si>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</si>
  <si>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</si>
  <si>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</si>
  <si>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</si>
  <si>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</si>
  <si>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</si>
  <si>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</si>
  <si>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</si>
  <si>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</si>
  <si>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</si>
  <si>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</si>
  <si>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</si>
  <si>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</si>
  <si>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</si>
  <si>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</si>
  <si>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</si>
  <si>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</si>
  <si>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</si>
  <si>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</si>
  <si>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</si>
  <si>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</si>
  <si>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</si>
  <si>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</si>
  <si>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</si>
  <si>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</si>
  <si>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</si>
  <si>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</si>
  <si>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</si>
  <si>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</si>
  <si>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</si>
  <si>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</si>
  <si>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</si>
  <si>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</si>
  <si>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</si>
  <si>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</si>
  <si>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</si>
  <si>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</si>
  <si>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</si>
  <si>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</si>
  <si>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</si>
  <si>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</si>
  <si>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</si>
  <si>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</si>
  <si>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</si>
  <si>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</si>
  <si>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</si>
  <si>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</si>
  <si>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</si>
  <si>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</si>
  <si>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</si>
  <si>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</si>
  <si>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</si>
  <si>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</si>
  <si>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</si>
  <si>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</si>
  <si>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</si>
  <si>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</si>
  <si>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</si>
  <si>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</si>
  <si>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</si>
  <si>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</si>
  <si>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</si>
  <si>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</si>
  <si>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</si>
  <si>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</si>
  <si>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</si>
  <si>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</si>
  <si>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</si>
  <si>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</si>
  <si>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</si>
  <si>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</si>
  <si>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</si>
  <si>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</si>
  <si>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</si>
  <si>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</si>
  <si>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</si>
  <si>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</si>
  <si>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</si>
  <si>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</si>
  <si>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</si>
  <si>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</si>
  <si>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</si>
  <si>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</si>
  <si>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</si>
  <si>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</si>
  <si>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</si>
  <si>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</si>
  <si>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</si>
  <si>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</si>
  <si>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</si>
  <si>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</si>
  <si>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</si>
  <si>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</si>
  <si>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</si>
  <si>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</si>
  <si>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</si>
  <si>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</si>
  <si>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</si>
  <si>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</si>
  <si>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</si>
  <si>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</si>
  <si>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</si>
  <si>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</si>
  <si>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</si>
  <si>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</si>
  <si>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</si>
  <si>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</si>
  <si>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</si>
  <si>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</si>
  <si>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</si>
  <si>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</si>
  <si>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</si>
  <si>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</si>
  <si>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</si>
  <si>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</si>
  <si>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</si>
  <si>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</si>
  <si>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</si>
  <si>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</si>
  <si>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</si>
  <si>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</si>
  <si>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</si>
  <si>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</si>
  <si>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</si>
  <si>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</si>
  <si>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</si>
  <si>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</si>
  <si>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</si>
  <si>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</si>
  <si>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</si>
  <si>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</si>
  <si>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</si>
  <si>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</si>
  <si>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</si>
  <si>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</si>
  <si>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</si>
  <si>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</si>
  <si>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</si>
  <si>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</si>
  <si>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</si>
  <si>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</si>
  <si>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</si>
  <si>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</si>
  <si>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</si>
  <si>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</si>
  <si>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</si>
  <si>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</si>
  <si>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</si>
  <si>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</si>
  <si>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</si>
  <si>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</si>
  <si>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</si>
  <si>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</si>
  <si>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</si>
  <si>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</si>
  <si>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</si>
  <si>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</si>
  <si>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</si>
  <si>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</si>
  <si>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</si>
  <si>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</si>
  <si>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</si>
  <si>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</si>
  <si>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</si>
  <si>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</si>
  <si>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</si>
  <si>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</si>
  <si>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</si>
  <si>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</si>
  <si>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</si>
  <si>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Thread Dimension Output</t>
  </si>
  <si>
    <t>External Major Diameter Max</t>
  </si>
  <si>
    <t>External Major Diameter Min</t>
  </si>
  <si>
    <t>External Major Diameter ASME Note 3</t>
  </si>
  <si>
    <t>External Pitch Diameter Max</t>
  </si>
  <si>
    <t>External Pitch Diameter Min</t>
  </si>
  <si>
    <t>External Pitch Diameter Tolerance</t>
  </si>
  <si>
    <t>External Thread Class</t>
  </si>
  <si>
    <t>External UNR Minor Diameter Max Reference</t>
  </si>
  <si>
    <t>Thread Name</t>
  </si>
  <si>
    <t>Internal Thread Major Diameter Min</t>
  </si>
  <si>
    <t>Internal Thread Minor Diameter Max</t>
  </si>
  <si>
    <t>Internal Thread Minor Diameter Min</t>
  </si>
  <si>
    <t>Internal Thread Pitch Diameter Max</t>
  </si>
  <si>
    <t>Internal Thread Pitch Diameter Min</t>
  </si>
  <si>
    <t>Internal Thread Pitch Diameter Tolerance</t>
  </si>
  <si>
    <t>External Thread</t>
  </si>
  <si>
    <t>Internal Thread</t>
  </si>
  <si>
    <t>4–48 or 0.112–48 UNF CLASS 3</t>
  </si>
  <si>
    <t>Thread Size</t>
  </si>
  <si>
    <t>Body Diameter Max</t>
  </si>
  <si>
    <t>Body Diameter Min</t>
  </si>
  <si>
    <t>Head Diameter Max</t>
  </si>
  <si>
    <t>Head Diameter Min</t>
  </si>
  <si>
    <t>Head Height Max</t>
  </si>
  <si>
    <t>Head Height Min</t>
  </si>
  <si>
    <t>Incomplete Thread Length at End</t>
  </si>
  <si>
    <t>Minimum Threaded Length</t>
  </si>
  <si>
    <t>Screw Length Min</t>
  </si>
  <si>
    <t>Screw Length Max</t>
  </si>
  <si>
    <t>1⁄4-28 or 0.2500-28 UNF CLASS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</si>
</sst>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9851680"/>
        <c:axId val="689852664"/>
      </c:barChart>
      <c:catAx>
        <c:axId val="689851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852664"/>
        <c:crosses val="autoZero"/>
        <c:auto val="1"/>
        <c:lblAlgn val="ctr"/>
        <c:lblOffset val="100"/>
        <c:noMultiLvlLbl val="0"/>
      </c:catAx>
      <c:valAx>
        <c:axId val="6898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85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'Manual Bolt Geometry'!$B$24</c:f>
              <c:strCache>
                <c:ptCount val="1"/>
                <c:pt idx="0">
                  <c:v>1⁄4-28 or 0.2500-28 UNF CLASS 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'Manual Bolt Geometry'!$B$25:$B$34</c:f>
              <c:numCache>
                <c:formatCode>General</c:formatCode>
                <c:ptCount val="10"/>
                <c:pt idx="0">
                  <c:v>0.25</c:v>
                </c:pt>
                <c:pt idx="1">
                  <c:v>0.24349999999999999</c:v>
                </c:pt>
                <c:pt idx="2">
                  <c:v>0.375</c:v>
                </c:pt>
                <c:pt idx="3">
                  <c:v>0.36499999999999999</c:v>
                </c:pt>
                <c:pt idx="4">
                  <c:v>0.25</c:v>
                </c:pt>
                <c:pt idx="5">
                  <c:v>0.24399999999999999</c:v>
                </c:pt>
                <c:pt idx="6">
                  <c:v>3.5714285714285712E-2</c:v>
                </c:pt>
                <c:pt idx="7">
                  <c:v>1</c:v>
                </c:pt>
                <c:pt idx="8">
                  <c:v>0.34499999999999997</c:v>
                </c:pt>
                <c:pt idx="9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7-48EB-9D1E-A51044D69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865128"/>
        <c:axId val="689866440"/>
      </c:scatterChart>
      <c:valAx>
        <c:axId val="6898651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866440"/>
        <c:crosses val="autoZero"/>
        <c:crossBetween val="midCat"/>
      </c:valAx>
      <c:valAx>
        <c:axId val="68986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86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22</xdr:row>
      <xdr:rowOff>166687</xdr:rowOff>
    </xdr:from>
    <xdr:to>
      <xdr:col>6</xdr:col>
      <xdr:colOff>609600</xdr:colOff>
      <xdr:row>37</xdr:row>
      <xdr:rowOff>52387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FEEAF9C-905E-4923-BF50-90C26707DE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180975</xdr:colOff>
      <xdr:row>22</xdr:row>
      <xdr:rowOff>166687</xdr:rowOff>
    </xdr:from>
    <xdr:to>
      <xdr:col>6</xdr:col>
      <xdr:colOff>609600</xdr:colOff>
      <xdr:row>37</xdr:row>
      <xdr:rowOff>52387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0E6465C-BF78-414D-9A76-BF66FA109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zoomScaleNormal="100" workbookViewId="0">
      <selection activeCell="D27" sqref="D27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cm="1">
        <f t="array" ref="I3">SocketHeadCapScrewGeometry(B3:D3)</f>
        <v>0.25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B13" t="s">
        <v>12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pageSetup paperSize="14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D36"/>
  <sheetViews>
    <sheetView tabSelected="1" workbookViewId="0">
      <selection activeCell="I10" sqref="I10"/>
    </sheetView>
  </sheetViews>
  <sheetFormatPr defaultRowHeight="15" x14ac:dyDescent="0.25"/>
  <cols>
    <col min="1" max="1" width="47.5703125" bestFit="1" customWidth="1"/>
    <col min="2" max="2" width="29.28515625" bestFit="1" customWidth="1"/>
    <col min="3" max="3" width="38.28515625" bestFit="1" customWidth="1"/>
    <col min="4" max="4" width="27.28515625" bestFit="1" customWidth="1"/>
    <col min="5" max="5" width="27" bestFit="1" customWidth="1"/>
    <col min="6" max="6" width="35.140625" bestFit="1" customWidth="1"/>
    <col min="7" max="7" width="26.5703125" bestFit="1" customWidth="1"/>
    <col min="8" max="8" width="26.28515625" bestFit="1" customWidth="1"/>
    <col min="9" max="9" width="31.7109375" bestFit="1" customWidth="1"/>
    <col min="10" max="10" width="41.7109375" bestFit="1" customWidth="1"/>
  </cols>
  <sheetData>
    <row r="1" spans="1:4" x14ac:dyDescent="0.25">
      <c r="A1" t="s">
        <v>175</v>
      </c>
      <c r="B1" t="s">
        <v>176</v>
      </c>
    </row>
    <row r="2" spans="1:4" x14ac:dyDescent="0.25">
      <c r="A2" t="s">
        <v>180</v>
      </c>
    </row>
    <row r="3" spans="1:4" x14ac:dyDescent="0.25">
      <c r="A3" t="s">
        <v>179</v>
      </c>
      <c r="B3" t="s">
        <v>181</v>
      </c>
    </row>
    <row r="4" spans="1:4" x14ac:dyDescent="0.25">
      <c r="A4" t="s">
        <v>9</v>
      </c>
    </row>
    <row r="5" spans="1:4" x14ac:dyDescent="0.25">
      <c r="A5" t="s">
        <v>10</v>
      </c>
    </row>
    <row r="6" spans="1:4" x14ac:dyDescent="0.25">
      <c r="A6" t="s">
        <v>177</v>
      </c>
    </row>
    <row r="7" spans="1:4" x14ac:dyDescent="0.25">
      <c r="A7" t="s">
        <v>178</v>
      </c>
    </row>
    <row r="8" spans="1:4" x14ac:dyDescent="0.25">
      <c r="A8" t="s">
        <v>46</v>
      </c>
    </row>
    <row r="11" spans="1:4" x14ac:dyDescent="0.25">
      <c r="A11" t="s">
        <v>182</v>
      </c>
    </row>
    <row r="12" spans="1:4" x14ac:dyDescent="0.25">
      <c r="A12" t="s">
        <v>191</v>
      </c>
      <c r="B12" t="s">
        <v>200</v>
      </c>
    </row>
    <row r="13" spans="1:4" x14ac:dyDescent="0.25">
      <c r="A13" t="s">
        <v>85</v>
      </c>
      <c r="B13" cm="1">
        <f t="array" ref="B13">ThreadDimensions($B$12,A13)</f>
        <v>0</v>
      </c>
    </row>
    <row r="14" spans="1:4" x14ac:dyDescent="0.25">
      <c r="A14" s="4" t="s">
        <v>198</v>
      </c>
      <c r="B14" s="4"/>
      <c r="C14" s="4" t="s">
        <v>199</v>
      </c>
      <c r="D14" s="4"/>
    </row>
    <row r="15" spans="1:4" x14ac:dyDescent="0.25">
      <c r="A15" t="s">
        <v>189</v>
      </c>
      <c r="B15" t="str" cm="1">
        <f t="array" ref="B15">ThreadDimensions($B$12,A15)</f>
        <v>3A</v>
      </c>
      <c r="C15" t="s">
        <v>92</v>
      </c>
      <c r="D15" t="str" cm="1">
        <f t="array" ref="D15">ThreadDimensions($B$12,C15)</f>
        <v>3B</v>
      </c>
    </row>
    <row r="16" spans="1:4" x14ac:dyDescent="0.25">
      <c r="A16" t="s">
        <v>183</v>
      </c>
      <c r="B16" cm="1">
        <f t="array" ref="B16">ThreadDimensions($B$12,A16)</f>
        <v>0.112</v>
      </c>
      <c r="C16" t="s">
        <v>192</v>
      </c>
      <c r="D16" cm="1">
        <f t="array" ref="D16">ThreadDimensions($B$12,C16)</f>
        <v>0.112</v>
      </c>
    </row>
    <row r="17" spans="1:4" x14ac:dyDescent="0.25">
      <c r="A17" t="s">
        <v>184</v>
      </c>
      <c r="B17" cm="1">
        <f t="array" ref="B17">ThreadDimensions($B$12,A17)</f>
        <v>0.1075</v>
      </c>
      <c r="C17" t="s">
        <v>193</v>
      </c>
      <c r="D17" cm="1">
        <f t="array" ref="D17">ThreadDimensions($B$12,C17)</f>
        <v>9.6799999999999997E-2</v>
      </c>
    </row>
    <row r="18" spans="1:4" x14ac:dyDescent="0.25">
      <c r="A18" t="s">
        <v>185</v>
      </c>
      <c r="B18" cm="1">
        <f t="array" ref="B18">ThreadDimensions($B$12,A18)</f>
        <v>0</v>
      </c>
      <c r="C18" t="s">
        <v>194</v>
      </c>
      <c r="D18" cm="1">
        <f t="array" ref="D18">ThreadDimensions($B$12,C18)</f>
        <v>8.9399999999999993E-2</v>
      </c>
    </row>
    <row r="19" spans="1:4" x14ac:dyDescent="0.25">
      <c r="A19" t="s">
        <v>186</v>
      </c>
      <c r="B19" cm="1">
        <f t="array" ref="B19">ThreadDimensions($B$12,A19)</f>
        <v>9.8500000000000004E-2</v>
      </c>
      <c r="C19" t="s">
        <v>195</v>
      </c>
      <c r="D19" cm="1">
        <f t="array" ref="D19">ThreadDimensions($B$12,C19)</f>
        <v>0.1008</v>
      </c>
    </row>
    <row r="20" spans="1:4" x14ac:dyDescent="0.25">
      <c r="A20" t="s">
        <v>187</v>
      </c>
      <c r="B20" cm="1">
        <f t="array" ref="B20">ThreadDimensions($B$12,A20)</f>
        <v>9.6699999999999994E-2</v>
      </c>
      <c r="C20" t="s">
        <v>196</v>
      </c>
      <c r="D20" cm="1">
        <f t="array" ref="D20">ThreadDimensions($B$12,C20)</f>
        <v>9.8500000000000004E-2</v>
      </c>
    </row>
    <row r="21" spans="1:4" x14ac:dyDescent="0.25">
      <c r="A21" t="s">
        <v>188</v>
      </c>
      <c r="B21" cm="1">
        <f t="array" ref="B21">ThreadDimensions($B$12,A21)</f>
        <v>1.8E-3</v>
      </c>
      <c r="C21" t="s">
        <v>197</v>
      </c>
      <c r="D21" cm="1">
        <f t="array" ref="D21">ThreadDimensions($B$12,C21)</f>
        <v>2.3E-3</v>
      </c>
    </row>
    <row r="22" spans="1:4" x14ac:dyDescent="0.25">
      <c r="A22" t="s">
        <v>190</v>
      </c>
      <c r="B22" cm="1">
        <f t="array" ref="B22">ThreadDimensions($B$12,A22)</f>
        <v>8.72E-2</v>
      </c>
    </row>
    <row r="24" spans="1:4" x14ac:dyDescent="0.25">
      <c r="A24" t="s">
        <v>201</v>
      </c>
      <c r="B24" t="s">
        <v>212</v>
      </c>
    </row>
    <row r="25" spans="1:4" x14ac:dyDescent="0.25">
      <c r="A25" t="s">
        <v>202</v>
      </c>
      <c r="B25">
        <v>0.25</v>
      </c>
    </row>
    <row r="26" spans="1:4" x14ac:dyDescent="0.25">
      <c r="A26" t="s">
        <v>203</v>
      </c>
      <c r="B26">
        <v>0.24349999999999999</v>
      </c>
    </row>
    <row r="27" spans="1:4" x14ac:dyDescent="0.25">
      <c r="A27" t="s">
        <v>204</v>
      </c>
      <c r="B27">
        <v>0.375</v>
      </c>
    </row>
    <row r="28" spans="1:4" x14ac:dyDescent="0.25">
      <c r="A28" t="s">
        <v>205</v>
      </c>
      <c r="B28">
        <v>0.36499999999999999</v>
      </c>
    </row>
    <row r="29" spans="1:4" x14ac:dyDescent="0.25">
      <c r="A29" t="s">
        <v>206</v>
      </c>
      <c r="B29">
        <v>0.25</v>
      </c>
    </row>
    <row r="30" spans="1:4" x14ac:dyDescent="0.25">
      <c r="A30" t="s">
        <v>207</v>
      </c>
      <c r="B30">
        <v>0.24399999999999999</v>
      </c>
    </row>
    <row r="31" spans="1:4" x14ac:dyDescent="0.25">
      <c r="A31" t="s">
        <v>208</v>
      </c>
      <c r="B31">
        <f>1/28</f>
        <v>3.5714285714285712E-2</v>
      </c>
    </row>
    <row r="32" spans="1:4" x14ac:dyDescent="0.25">
      <c r="A32" t="s">
        <v>209</v>
      </c>
      <c r="B32">
        <v>1</v>
      </c>
    </row>
    <row r="33" spans="1:2" x14ac:dyDescent="0.25">
      <c r="A33" t="s">
        <v>210</v>
      </c>
      <c r="B33">
        <f>B34-0.03</f>
        <v>0.34499999999999997</v>
      </c>
    </row>
    <row r="34" spans="1:2" x14ac:dyDescent="0.25">
      <c r="A34" t="s">
        <v>211</v>
      </c>
      <c r="B34">
        <v>0.375</v>
      </c>
    </row>
    <row r="36" spans="1:2" x14ac:dyDescent="0.25">
      <c r="B36" cm="1">
        <f t="array" ref="B36">BoltInputReader(B24:B34)</f>
        <v>1</v>
      </c>
    </row>
  </sheetData>
  <dataConsolidate/>
  <mergeCells count="2">
    <mergeCell ref="A14:B14"/>
    <mergeCell ref="C14:D14"/>
  </mergeCells>
  <pageMargins left="0.7" right="0.7" top="0.75" bottom="0.75" header="0.3" footer="0.3"/>
  <pageSetup paperSize="145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B12 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topLeftCell="C1" workbookViewId="0">
      <selection activeCell="B37" sqref="B37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2022-02-17T03:40:12Z</dcterms:modified>
</cp:coreProperties>
</file>