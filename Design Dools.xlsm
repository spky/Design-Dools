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89BF0880-8D53-4A96-B1C5-AA7A3C2C000E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9" i="3" l="1"/>
  <c r="B65" i="3" a="1"/>
  <c r="A68" i="3" a="1"/>
  <c r="B65" i="3" l="1"/>
  <c r="A68" i="3"/>
  <c r="B46" i="3"/>
  <c r="B45" i="3"/>
  <c r="D45" i="3" s="1"/>
  <c r="E45" i="3" s="1"/>
  <c r="G45" i="3" s="1"/>
  <c r="H45" i="3" s="1"/>
  <c r="D46" i="3"/>
  <c r="E46" i="3" s="1"/>
  <c r="G46" i="3" s="1"/>
  <c r="H46" i="3" s="1"/>
  <c r="B47" i="3"/>
  <c r="B48" i="3"/>
  <c r="B49" i="3"/>
  <c r="D49" i="3" s="1"/>
  <c r="E49" i="3" s="1"/>
  <c r="G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8" i="3"/>
  <c r="E48" i="3" s="1"/>
  <c r="G48" i="3" s="1"/>
  <c r="H48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21" i="3" a="1"/>
  <c r="D17" i="3" a="1"/>
  <c r="D16" i="3" a="1"/>
  <c r="B38" i="3" a="1"/>
  <c r="B23" i="3" a="1"/>
  <c r="D21" i="3" a="1"/>
  <c r="B22" i="3" a="1"/>
  <c r="B17" i="3" a="1"/>
  <c r="B15" i="3" a="1"/>
  <c r="B18" i="3" a="1"/>
  <c r="D15" i="3" a="1"/>
  <c r="D19" i="3" a="1"/>
  <c r="B24" i="3" a="1"/>
  <c r="B16" i="3" a="1"/>
  <c r="B13" i="3" a="1"/>
  <c r="D18" i="3" a="1"/>
  <c r="D20" i="3" a="1"/>
  <c r="B19" i="3" a="1"/>
  <c r="B20" i="3" a="1"/>
  <c r="B38" i="3" l="1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<sst xmlns="http://schemas.openxmlformats.org/spreadsheetml/2006/main" count="823" uniqueCount="224">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</sst>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-0.125</c:v>
                </c:pt>
                <c:pt idx="4">
                  <c:v>-0.125</c:v>
                </c:pt>
                <c:pt idx="5">
                  <c:v>-0.10505</c:v>
                </c:pt>
                <c:pt idx="6">
                  <c:v>0.10505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0.1875</c:v>
                </c:pt>
                <c:pt idx="12">
                  <c:v>0.1875</c:v>
                </c:pt>
                <c:pt idx="13">
                  <c:v>-0.1875</c:v>
                </c:pt>
                <c:pt idx="14">
                  <c:v>-0.1875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-3.0000000000000027E-2</c:v>
                </c:pt>
                <c:pt idx="3">
                  <c:v>-3.0000000000000027E-2</c:v>
                </c:pt>
                <c:pt idx="4">
                  <c:v>-0.3392857142857143</c:v>
                </c:pt>
                <c:pt idx="5">
                  <c:v>-0.375</c:v>
                </c:pt>
                <c:pt idx="6">
                  <c:v>-0.375</c:v>
                </c:pt>
                <c:pt idx="7">
                  <c:v>-0.3392857142857143</c:v>
                </c:pt>
                <c:pt idx="8">
                  <c:v>-3.0000000000000027E-2</c:v>
                </c:pt>
                <c:pt idx="9">
                  <c:v>-3.0000000000000027E-2</c:v>
                </c:pt>
                <c:pt idx="10">
                  <c:v>0</c:v>
                </c:pt>
                <c:pt idx="11">
                  <c:v>0</c:v>
                </c:pt>
                <c:pt idx="12">
                  <c:v>0.25</c:v>
                </c:pt>
                <c:pt idx="13">
                  <c:v>0.25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6-43B1-BEBD-5E10CADCB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014296"/>
        <c:axId val="661016264"/>
      </c:scatterChart>
      <c:valAx>
        <c:axId val="66101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6264"/>
        <c:crosses val="autoZero"/>
        <c:crossBetween val="midCat"/>
      </c:valAx>
      <c:valAx>
        <c:axId val="6610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1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1409700</xdr:colOff>
      <xdr:row>61</xdr:row>
      <xdr:rowOff>157162</xdr:rowOff>
    </xdr:from>
    <xdr:to>
      <xdr:col>4</xdr:col>
      <xdr:colOff>1609725</xdr:colOff>
      <xdr:row>76</xdr:row>
      <xdr:rowOff>42862</xdr:rowOff>
    </xdr:to>
    <xdr:graphicFrame macro="">
      <xdr:nvGraphicFramePr>
        <xdr:cNvPr id="3" name="Bolt Test Chart">
          <a:extLst>
            <a:ext uri="{FF2B5EF4-FFF2-40B4-BE49-F238E27FC236}">
              <a16:creationId xmlns:a16="http://schemas.microsoft.com/office/drawing/2014/main" id="{C679E88B-DE51-4C08-90BA-E5464BC132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F10" sqref="F10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82"/>
  <sheetViews>
    <sheetView tabSelected="1" topLeftCell="A37" workbookViewId="0">
      <selection activeCell="F53" sqref="F53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5" t="s">
        <v>198</v>
      </c>
      <c r="B14" s="5"/>
      <c r="C14" s="5" t="s">
        <v>199</v>
      </c>
      <c r="D14" s="5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0.25</v>
      </c>
      <c r="C16" t="s">
        <v>192</v>
      </c>
      <c r="D16" cm="1">
        <f t="array" ref="D16">ThreadDimensions($B$12,C16)</f>
        <v>0.25</v>
      </c>
    </row>
    <row r="17" spans="1:7" x14ac:dyDescent="0.25">
      <c r="A17" t="s">
        <v>184</v>
      </c>
      <c r="B17" cm="1">
        <f t="array" ref="B17">ThreadDimensions($B$12,A17)</f>
        <v>0.24349999999999999</v>
      </c>
      <c r="C17" t="s">
        <v>193</v>
      </c>
      <c r="D17" cm="1">
        <f t="array" ref="D17">ThreadDimensions($B$12,C17)</f>
        <v>0.219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0.21099999999999999</v>
      </c>
    </row>
    <row r="19" spans="1:7" x14ac:dyDescent="0.25">
      <c r="A19" t="s">
        <v>186</v>
      </c>
      <c r="B19" cm="1">
        <f t="array" ref="B19">ThreadDimensions($B$12,A19)</f>
        <v>0.2268</v>
      </c>
      <c r="C19" t="s">
        <v>195</v>
      </c>
      <c r="D19" cm="1">
        <f t="array" ref="D19">ThreadDimensions($B$12,C19)</f>
        <v>0.23</v>
      </c>
    </row>
    <row r="20" spans="1:7" x14ac:dyDescent="0.25">
      <c r="A20" t="s">
        <v>187</v>
      </c>
      <c r="B20" cm="1">
        <f t="array" ref="B20">ThreadDimensions($B$12,A20)</f>
        <v>0.2243</v>
      </c>
      <c r="C20" t="s">
        <v>196</v>
      </c>
      <c r="D20" cm="1">
        <f t="array" ref="D20">ThreadDimensions($B$12,C20)</f>
        <v>0.2268</v>
      </c>
    </row>
    <row r="21" spans="1:7" x14ac:dyDescent="0.25">
      <c r="A21" t="s">
        <v>188</v>
      </c>
      <c r="B21" cm="1">
        <f t="array" ref="B21">ThreadDimensions($B$12,A21)</f>
        <v>2.5000000000000001E-3</v>
      </c>
      <c r="C21" t="s">
        <v>197</v>
      </c>
      <c r="D21" cm="1">
        <f t="array" ref="D21">ThreadDimensions($B$12,C21)</f>
        <v>3.2000000000000002E-3</v>
      </c>
    </row>
    <row r="22" spans="1:7" x14ac:dyDescent="0.25">
      <c r="A22" t="s">
        <v>190</v>
      </c>
      <c r="B22" cm="1">
        <f t="array" ref="B22">ThreadDimensions($B$12,A22)</f>
        <v>0.20749999999999999</v>
      </c>
    </row>
    <row r="23" spans="1:7" x14ac:dyDescent="0.25">
      <c r="A23" t="s">
        <v>218</v>
      </c>
      <c r="B23" cm="1">
        <f t="array" ref="B23">ThreadDimensions($B$12,A23)</f>
        <v>0.21010000000000001</v>
      </c>
    </row>
    <row r="24" spans="1:7" x14ac:dyDescent="0.25">
      <c r="A24" t="s">
        <v>219</v>
      </c>
      <c r="B24" cm="1">
        <f t="array" ref="B24">ThreadDimensions($B$12,A24)</f>
        <v>0.1986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4" t="e" cm="1">
        <f t="array" ref="B38">BoltInputReader(B26:B36)</f>
        <v>#VALUE!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str" cm="1">
        <f t="array" ref="B65">PlotDataRange(A63,A67,A68:A82,B68:B82)</f>
        <v>True</v>
      </c>
    </row>
    <row r="67" spans="1:2" x14ac:dyDescent="0.25">
      <c r="A67" t="s">
        <v>50</v>
      </c>
    </row>
    <row r="68" spans="1:2" x14ac:dyDescent="0.25">
      <c r="A68" cm="1">
        <f t="array" ref="A68:B82">BoltGeometryArray(B26:B36,B64)</f>
        <v>-0.1875</v>
      </c>
      <c r="B68">
        <v>0</v>
      </c>
    </row>
    <row r="69" spans="1:2" x14ac:dyDescent="0.25">
      <c r="A69">
        <v>-0.125</v>
      </c>
      <c r="B69">
        <v>0</v>
      </c>
    </row>
    <row r="70" spans="1:2" x14ac:dyDescent="0.25">
      <c r="A70">
        <v>-0.125</v>
      </c>
      <c r="B70">
        <v>-3.0000000000000027E-2</v>
      </c>
    </row>
    <row r="71" spans="1:2" x14ac:dyDescent="0.25">
      <c r="A71">
        <v>-0.125</v>
      </c>
      <c r="B71">
        <v>-3.0000000000000027E-2</v>
      </c>
    </row>
    <row r="72" spans="1:2" x14ac:dyDescent="0.25">
      <c r="A72">
        <v>-0.125</v>
      </c>
      <c r="B72">
        <v>-0.3392857142857143</v>
      </c>
    </row>
    <row r="73" spans="1:2" x14ac:dyDescent="0.25">
      <c r="A73">
        <v>-0.10505</v>
      </c>
      <c r="B73">
        <v>-0.375</v>
      </c>
    </row>
    <row r="74" spans="1:2" x14ac:dyDescent="0.25">
      <c r="A74">
        <v>0.10505</v>
      </c>
      <c r="B74">
        <v>-0.375</v>
      </c>
    </row>
    <row r="75" spans="1:2" x14ac:dyDescent="0.25">
      <c r="A75">
        <v>0.125</v>
      </c>
      <c r="B75">
        <v>-0.3392857142857143</v>
      </c>
    </row>
    <row r="76" spans="1:2" x14ac:dyDescent="0.25">
      <c r="A76">
        <v>0.125</v>
      </c>
      <c r="B76">
        <v>-3.0000000000000027E-2</v>
      </c>
    </row>
    <row r="77" spans="1:2" x14ac:dyDescent="0.25">
      <c r="A77">
        <v>0.125</v>
      </c>
      <c r="B77">
        <v>-3.0000000000000027E-2</v>
      </c>
    </row>
    <row r="78" spans="1:2" x14ac:dyDescent="0.25">
      <c r="A78">
        <v>0.125</v>
      </c>
      <c r="B78">
        <v>0</v>
      </c>
    </row>
    <row r="79" spans="1:2" x14ac:dyDescent="0.25">
      <c r="A79">
        <v>0.1875</v>
      </c>
      <c r="B79">
        <v>0</v>
      </c>
    </row>
    <row r="80" spans="1:2" x14ac:dyDescent="0.25">
      <c r="A80">
        <v>0.1875</v>
      </c>
      <c r="B80">
        <v>0.25</v>
      </c>
    </row>
    <row r="81" spans="1:2" x14ac:dyDescent="0.25">
      <c r="A81">
        <v>-0.1875</v>
      </c>
      <c r="B81">
        <v>0.25</v>
      </c>
    </row>
    <row r="82" spans="1:2" x14ac:dyDescent="0.25">
      <c r="A82">
        <v>-0.1875</v>
      </c>
      <c r="B82">
        <v>0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D1" workbookViewId="0">
      <selection activeCell="K14" sqref="K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2022-02-20T03:53:11Z</dcterms:modified>
</cp:coreProperties>
</file>