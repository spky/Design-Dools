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5293a2c2b79c1bd/Documents/GitHub/Design-Dools/"/>
    </mc:Choice>
  </mc:AlternateContent>
  <xr:revisionPtr revIDLastSave="104" documentId="13_ncr:1_{6776D366-43FD-448C-8F6E-73444D28D997}" xr6:coauthVersionLast="47" xr6:coauthVersionMax="47" xr10:uidLastSave="{01BAFFB4-3B4B-4778-A743-7BF5448B728A}"/>
  <bookViews>
    <workbookView xWindow="-120" yWindow="-120" windowWidth="20730" windowHeight="1116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9" i="3" l="1"/>
  <c r="A68" i="3" a="1"/>
  <c r="B90" i="3" a="1"/>
  <c r="B65" i="3" a="1"/>
  <c r="A68" i="3" l="1"/>
  <c r="B90" i="3"/>
  <c r="B65" i="3"/>
  <c r="B46" i="3"/>
  <c r="B45" i="3"/>
  <c r="D45" i="3" s="1"/>
  <c r="E45" i="3" s="1"/>
  <c r="G45" i="3" s="1"/>
  <c r="H45" i="3" s="1"/>
  <c r="D46" i="3"/>
  <c r="E46" i="3" s="1"/>
  <c r="G46" i="3" s="1"/>
  <c r="H46" i="3" s="1"/>
  <c r="B47" i="3"/>
  <c r="B48" i="3"/>
  <c r="B49" i="3"/>
  <c r="D49" i="3" s="1"/>
  <c r="E49" i="3" s="1"/>
  <c r="G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8" i="3"/>
  <c r="E48" i="3" s="1"/>
  <c r="G48" i="3" s="1"/>
  <c r="H48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38" i="3" a="1"/>
  <c r="B21" i="3" a="1"/>
  <c r="D20" i="3" a="1"/>
  <c r="D21" i="3" a="1"/>
  <c r="B22" i="3" a="1"/>
  <c r="B15" i="3" a="1"/>
  <c r="B16" i="3" a="1"/>
  <c r="B17" i="3" a="1"/>
  <c r="B23" i="3" a="1"/>
  <c r="D16" i="3" a="1"/>
  <c r="B18" i="3" a="1"/>
  <c r="D15" i="3" a="1"/>
  <c r="D19" i="3" a="1"/>
  <c r="B13" i="3" a="1"/>
  <c r="B20" i="3" a="1"/>
  <c r="D18" i="3" a="1"/>
  <c r="B24" i="3" a="1"/>
  <c r="D17" i="3" a="1"/>
  <c r="B19" i="3" a="1"/>
  <c r="B38" i="3" l="1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<sst xmlns="http://schemas.openxmlformats.org/spreadsheetml/2006/main" count="829" uniqueCount="227">
  <si>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</si>
  <si>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</si>
  <si>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</si>
  <si>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</si>
  <si>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</si>
  <si>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</si>
  <si>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</si>
  <si>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</si>
  <si>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</si>
  <si>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</si>
  <si>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</si>
  <si>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</si>
  <si>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</si>
  <si>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</si>
  <si>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</si>
  <si>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</si>
  <si>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</si>
  <si>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</si>
  <si>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</si>
  <si>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</si>
  <si>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</si>
  <si>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</si>
  <si>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</si>
  <si>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</si>
  <si>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</si>
  <si>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</si>
  <si>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</si>
  <si>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</si>
  <si>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</si>
  <si>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</si>
  <si>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</si>
  <si>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</si>
  <si>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</si>
  <si>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</si>
  <si>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</si>
  <si>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</si>
  <si>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</si>
  <si>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</si>
  <si>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</si>
  <si>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</si>
  <si>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</si>
  <si>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</si>
  <si>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</si>
  <si>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</si>
  <si>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</si>
  <si>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</si>
  <si>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</si>
  <si>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</si>
  <si>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</si>
  <si>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</si>
  <si>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</si>
  <si>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</si>
  <si>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</si>
  <si>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</si>
  <si>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</si>
  <si>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</si>
  <si>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</si>
  <si>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</si>
  <si>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</si>
  <si>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</si>
  <si>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</si>
  <si>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</si>
  <si>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</si>
  <si>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</si>
  <si>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</si>
  <si>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</si>
  <si>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</si>
  <si>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</si>
  <si>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</si>
  <si>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</si>
  <si>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</si>
  <si>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</si>
  <si>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</si>
  <si>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</si>
  <si>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</si>
  <si>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</si>
  <si>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</si>
  <si>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</si>
  <si>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</si>
  <si>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</si>
  <si>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</si>
  <si>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</si>
  <si>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</si>
  <si>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</si>
  <si>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</si>
  <si>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</si>
  <si>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</si>
  <si>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</si>
  <si>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</si>
  <si>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</si>
  <si>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</si>
  <si>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</si>
  <si>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</si>
  <si>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</si>
  <si>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</si>
  <si>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</si>
  <si>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</si>
  <si>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</si>
  <si>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</si>
  <si>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</si>
  <si>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</si>
  <si>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</si>
  <si>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</si>
  <si>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</si>
  <si>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</si>
  <si>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</si>
  <si>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</si>
  <si>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</si>
  <si>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</si>
  <si>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</si>
  <si>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</si>
  <si>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</si>
  <si>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</si>
  <si>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</si>
  <si>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</si>
  <si>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</si>
  <si>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</si>
  <si>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</si>
  <si>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</si>
  <si>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</si>
  <si>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</si>
  <si>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</si>
  <si>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</si>
  <si>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</si>
  <si>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</si>
  <si>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</si>
  <si>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</si>
  <si>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</si>
  <si>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</si>
  <si>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</si>
  <si>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</si>
  <si>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</si>
  <si>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</si>
  <si>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</si>
  <si>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</si>
  <si>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</si>
  <si>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</si>
  <si>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</si>
  <si>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</si>
  <si>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</si>
  <si>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</si>
  <si>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</si>
  <si>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</si>
  <si>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</si>
  <si>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</si>
  <si>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</si>
  <si>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</si>
  <si>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</si>
  <si>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</si>
  <si>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</si>
  <si>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</si>
  <si>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</si>
  <si>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</si>
  <si>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</si>
  <si>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</si>
  <si>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</si>
  <si>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</si>
  <si>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</si>
  <si>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</si>
  <si>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</si>
  <si>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</si>
  <si>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</si>
  <si>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</si>
  <si>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</si>
  <si>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</si>
  <si>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</si>
  <si>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</si>
  <si>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</si>
  <si>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</si>
  <si>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</si>
  <si>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</si>
  <si>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</si>
  <si>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</si>
  <si>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</si>
  <si>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</si>
  <si>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</si>
  <si>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</si>
  <si>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</si>
  <si>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</si>
  <si>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</si>
  <si>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</si>
  <si>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</si>
  <si>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</si>
  <si>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</si>
  <si>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</si>
  <si>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</si>
  <si>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</si>
  <si>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</si>
  <si>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</si>
  <si>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</si>
  <si>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</si>
  <si>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</si>
  <si>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</si>
  <si>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</si>
  <si>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</si>
  <si>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</si>
  <si>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</si>
  <si>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</si>
  <si>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</si>
  <si>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</si>
  <si>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</si>
  <si>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</si>
  <si>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</si>
  <si>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</si>
  <si>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</si>
  <si>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</si>
  <si>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</si>
  <si>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</si>
  <si>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</si>
  <si>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</si>
  <si>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</si>
  <si>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</si>
  <si>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</si>
  <si>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</si>
  <si>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</si>
  <si>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</si>
  <si>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</si>
  <si>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</si>
  <si>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</si>
  <si>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</si>
  <si>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</si>
  <si>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</si>
  <si>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</si>
  <si>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</si>
  <si>
    <t>Graphical Bolted Joint</t>
  </si>
  <si>
    <t>Bolted Joint Test Chart</t>
  </si>
  <si>
    <t>Bolt Material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</si>
</sst>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0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6-43B1-BEBD-5E10CADCB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014296"/>
        <c:axId val="661016264"/>
      </c:scatterChart>
      <c:valAx>
        <c:axId val="66101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6264"/>
        <c:crosses val="autoZero"/>
        <c:crossBetween val="midCat"/>
      </c:valAx>
      <c:valAx>
        <c:axId val="6610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85B-4D0D-9A81-8AEF7844062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85B-4D0D-9A81-8AEF7844062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885B-4D0D-9A81-8AEF7844062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885B-4D0D-9A81-8AEF78440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862447"/>
        <c:axId val="1552864527"/>
      </c:scatterChart>
      <c:valAx>
        <c:axId val="1552862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64527"/>
        <c:crosses val="autoZero"/>
        <c:crossBetween val="midCat"/>
      </c:valAx>
      <c:valAx>
        <c:axId val="155286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62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699654</xdr:colOff>
      <xdr:row>64</xdr:row>
      <xdr:rowOff>18616</xdr:rowOff>
    </xdr:from>
    <xdr:to>
      <xdr:col>6</xdr:col>
      <xdr:colOff>1124816</xdr:colOff>
      <xdr:row>78</xdr:row>
      <xdr:rowOff>94816</xdr:rowOff>
    </xdr:to>
    <xdr:graphicFrame macro="">
      <xdr:nvGraphicFramePr>
        <xdr:cNvPr id="3" name="Bolt Test Chart">
          <a:extLst>
            <a:ext uri="{FF2B5EF4-FFF2-40B4-BE49-F238E27FC236}">
              <a16:creationId xmlns:a16="http://schemas.microsoft.com/office/drawing/2014/main" id="{C679E88B-DE51-4C08-90BA-E5464BC132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828675</xdr:colOff>
      <xdr:row>67</xdr:row>
      <xdr:rowOff>57150</xdr:rowOff>
    </xdr:from>
    <xdr:to>
      <xdr:col>3</xdr:col>
      <xdr:colOff>895350</xdr:colOff>
      <xdr:row>81</xdr:row>
      <xdr:rowOff>133350</xdr:rowOff>
    </xdr:to>
    <xdr:graphicFrame macro="">
      <xdr:nvGraphicFramePr>
        <xdr:cNvPr id="8" name="Bolted Joint Test Chart">
          <a:extLst>
            <a:ext uri="{FF2B5EF4-FFF2-40B4-BE49-F238E27FC236}">
              <a16:creationId xmlns:a16="http://schemas.microsoft.com/office/drawing/2014/main" id="{C420A83C-DD56-4CA5-AC24-F42CC7CE9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F10" sqref="F10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90"/>
  <sheetViews>
    <sheetView tabSelected="1" topLeftCell="A55" zoomScale="55" zoomScaleNormal="55" workbookViewId="0">
      <selection activeCell="A69" sqref="A69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5" t="s">
        <v>198</v>
      </c>
      <c r="B14" s="5"/>
      <c r="C14" s="5" t="s">
        <v>199</v>
      </c>
      <c r="D14" s="5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0.25</v>
      </c>
      <c r="C16" t="s">
        <v>192</v>
      </c>
      <c r="D16" cm="1">
        <f t="array" ref="D16">ThreadDimensions($B$12,C16)</f>
        <v>0.25</v>
      </c>
    </row>
    <row r="17" spans="1:7" x14ac:dyDescent="0.25">
      <c r="A17" t="s">
        <v>184</v>
      </c>
      <c r="B17" cm="1">
        <f t="array" ref="B17">ThreadDimensions($B$12,A17)</f>
        <v>0.24349999999999999</v>
      </c>
      <c r="C17" t="s">
        <v>193</v>
      </c>
      <c r="D17" cm="1">
        <f t="array" ref="D17">ThreadDimensions($B$12,C17)</f>
        <v>0.219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0.21099999999999999</v>
      </c>
    </row>
    <row r="19" spans="1:7" x14ac:dyDescent="0.25">
      <c r="A19" t="s">
        <v>186</v>
      </c>
      <c r="B19" cm="1">
        <f t="array" ref="B19">ThreadDimensions($B$12,A19)</f>
        <v>0.2268</v>
      </c>
      <c r="C19" t="s">
        <v>195</v>
      </c>
      <c r="D19" cm="1">
        <f t="array" ref="D19">ThreadDimensions($B$12,C19)</f>
        <v>0.23</v>
      </c>
    </row>
    <row r="20" spans="1:7" x14ac:dyDescent="0.25">
      <c r="A20" t="s">
        <v>187</v>
      </c>
      <c r="B20" cm="1">
        <f t="array" ref="B20">ThreadDimensions($B$12,A20)</f>
        <v>0.2243</v>
      </c>
      <c r="C20" t="s">
        <v>196</v>
      </c>
      <c r="D20" cm="1">
        <f t="array" ref="D20">ThreadDimensions($B$12,C20)</f>
        <v>0.2268</v>
      </c>
    </row>
    <row r="21" spans="1:7" x14ac:dyDescent="0.25">
      <c r="A21" t="s">
        <v>188</v>
      </c>
      <c r="B21" cm="1">
        <f t="array" ref="B21">ThreadDimensions($B$12,A21)</f>
        <v>2.5000000000000001E-3</v>
      </c>
      <c r="C21" t="s">
        <v>197</v>
      </c>
      <c r="D21" cm="1">
        <f t="array" ref="D21">ThreadDimensions($B$12,C21)</f>
        <v>3.2000000000000002E-3</v>
      </c>
    </row>
    <row r="22" spans="1:7" x14ac:dyDescent="0.25">
      <c r="A22" t="s">
        <v>190</v>
      </c>
      <c r="B22" cm="1">
        <f t="array" ref="B22">ThreadDimensions($B$12,A22)</f>
        <v>0.20749999999999999</v>
      </c>
    </row>
    <row r="23" spans="1:7" x14ac:dyDescent="0.25">
      <c r="A23" t="s">
        <v>218</v>
      </c>
      <c r="B23" cm="1">
        <f t="array" ref="B23">ThreadDimensions($B$12,A23)</f>
        <v>0.21010000000000001</v>
      </c>
    </row>
    <row r="24" spans="1:7" x14ac:dyDescent="0.25">
      <c r="A24" t="s">
        <v>219</v>
      </c>
      <c r="B24" cm="1">
        <f t="array" ref="B24">ThreadDimensions($B$12,A24)</f>
        <v>0.1986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4" t="e" cm="1">
        <f t="array" ref="B38">BoltInputReader(B26:B36)</f>
        <v>#VALUE!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str" cm="1">
        <f t="array" ref="B65">PlotDataRange(A63,A67,A68:A82,B68:B82)</f>
        <v>True</v>
      </c>
    </row>
    <row r="67" spans="1:2" x14ac:dyDescent="0.25">
      <c r="A67" t="s">
        <v>50</v>
      </c>
    </row>
    <row r="68" spans="1:2" x14ac:dyDescent="0.25">
      <c r="A68" t="e" cm="1">
        <f t="array" ref="A68">BoltGeometryArray(B26:B36,B64)</f>
        <v>#VALUE!</v>
      </c>
    </row>
    <row r="87" spans="1:2" x14ac:dyDescent="0.25">
      <c r="A87" t="s">
        <v>224</v>
      </c>
    </row>
    <row r="88" spans="1:2" x14ac:dyDescent="0.25">
      <c r="A88" t="s">
        <v>213</v>
      </c>
      <c r="B88" t="s">
        <v>225</v>
      </c>
    </row>
    <row r="89" spans="1:2" x14ac:dyDescent="0.25">
      <c r="A89" t="s">
        <v>226</v>
      </c>
      <c r="B89" t="s">
        <v>222</v>
      </c>
    </row>
    <row r="90" spans="1:2" x14ac:dyDescent="0.25">
      <c r="A90" t="s">
        <v>221</v>
      </c>
      <c r="B90" t="e" cm="1">
        <f t="array" ref="B90">GraphicalBoltedJoint(B88,B26:B36,B89)</f>
        <v>#VALUE!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D1" workbookViewId="0">
      <selection activeCell="K14" sqref="K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 Sparks</cp:lastModifiedBy>
  <dcterms:created xsi:type="dcterms:W3CDTF">2022-02-04T03:34:42Z</dcterms:created>
  <dcterms:modified xsi:type="dcterms:W3CDTF">2022-02-21T04:02:45Z</dcterms:modified>
</cp:coreProperties>
</file>