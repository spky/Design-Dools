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B82C315C-FCC6-4130-8722-0CAC52ECB050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6" i="3" l="1"/>
  <c r="D46" i="3" s="1"/>
  <c r="E46" i="3" s="1"/>
  <c r="G46" i="3" s="1"/>
  <c r="H46" i="3" s="1"/>
  <c r="B45" i="3"/>
  <c r="D45" i="3" s="1"/>
  <c r="E45" i="3" s="1"/>
  <c r="G45" i="3" s="1"/>
  <c r="H45" i="3" s="1"/>
  <c r="B47" i="3"/>
  <c r="B48" i="3"/>
  <c r="D48" i="3" s="1"/>
  <c r="E48" i="3" s="1"/>
  <c r="G48" i="3" s="1"/>
  <c r="H48" i="3" s="1"/>
  <c r="B49" i="3"/>
  <c r="D49" i="3" s="1"/>
  <c r="E49" i="3" s="1"/>
  <c r="G49" i="3" s="1"/>
  <c r="H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38" i="3" a="1"/>
  <c r="A68" i="3" a="1"/>
  <c r="D22" i="3" a="1"/>
  <c r="B91" i="3" a="1"/>
  <c r="B111" i="3" a="1"/>
  <c r="B65" i="3" a="1"/>
  <c r="D16" i="3" a="1"/>
  <c r="D19" i="3" a="1"/>
  <c r="D17" i="3" a="1"/>
  <c r="D21" i="3" a="1"/>
  <c r="B15" i="3" a="1"/>
  <c r="B16" i="3" a="1"/>
  <c r="B23" i="3" a="1"/>
  <c r="B24" i="3" a="1"/>
  <c r="D18" i="3" a="1"/>
  <c r="B22" i="3" a="1"/>
  <c r="D20" i="3" a="1"/>
  <c r="B20" i="3" a="1"/>
  <c r="B17" i="3" a="1"/>
  <c r="B21" i="3" a="1"/>
  <c r="D15" i="3" a="1"/>
  <c r="B18" i="3" a="1"/>
  <c r="B13" i="3" a="1"/>
  <c r="B19" i="3" a="1"/>
  <c r="D22" i="3" l="1"/>
  <c r="B65" i="3"/>
  <c r="B111" i="3"/>
  <c r="B91" i="3"/>
  <c r="B38" i="3"/>
  <c r="A68" i="3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<sst xmlns="http://schemas.openxmlformats.org/spreadsheetml/2006/main" count="856" uniqueCount="240">
  <si>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</si>
  <si>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</si>
  <si>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</si>
  <si>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</si>
  <si>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</si>
  <si>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</si>
  <si>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</si>
  <si>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</si>
  <si>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</si>
  <si>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</si>
  <si>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</si>
  <si>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</si>
  <si>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</si>
  <si>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</si>
  <si>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</si>
  <si>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</si>
  <si>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</si>
  <si>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</si>
  <si>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</si>
  <si>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</si>
  <si>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</si>
  <si>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</si>
  <si>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</si>
  <si>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</si>
  <si>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</si>
  <si>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</si>
  <si>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</si>
  <si>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</si>
  <si>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</si>
  <si>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</si>
  <si>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</si>
  <si>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</si>
  <si>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</si>
  <si>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</si>
  <si>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</si>
  <si>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</si>
  <si>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</si>
  <si>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</si>
  <si>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</si>
  <si>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</si>
  <si>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</si>
  <si>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</si>
  <si>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</si>
  <si>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</si>
  <si>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</si>
  <si>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</si>
  <si>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</si>
  <si>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</si>
  <si>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</si>
  <si>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</si>
  <si>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</si>
  <si>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</si>
  <si>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</si>
  <si>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</si>
  <si>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</si>
  <si>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</si>
  <si>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</si>
  <si>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</si>
  <si>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</si>
  <si>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</si>
  <si>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</si>
  <si>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</si>
  <si>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</si>
  <si>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</si>
  <si>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</si>
  <si>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</si>
  <si>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</si>
  <si>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</si>
  <si>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</si>
  <si>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</si>
  <si>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</si>
  <si>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</si>
  <si>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</si>
  <si>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</si>
  <si>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</si>
  <si>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</si>
  <si>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</si>
  <si>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</si>
  <si>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</si>
  <si>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</si>
  <si>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</si>
  <si>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</si>
  <si>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</si>
  <si>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</si>
  <si>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</si>
  <si>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</si>
  <si>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</si>
  <si>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</si>
  <si>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</si>
  <si>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</si>
  <si>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</si>
  <si>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</si>
  <si>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</si>
  <si>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</si>
  <si>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</si>
  <si>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</si>
  <si>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</si>
  <si>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</si>
  <si>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</si>
  <si>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</si>
  <si>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</si>
  <si>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</si>
  <si>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</si>
  <si>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</si>
  <si>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</si>
  <si>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</si>
  <si>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</si>
  <si>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</si>
  <si>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</si>
  <si>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</si>
  <si>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</si>
  <si>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</si>
  <si>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</si>
  <si>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</si>
  <si>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</si>
  <si>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</si>
  <si>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</si>
  <si>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</si>
  <si>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</si>
  <si>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</si>
  <si>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</si>
  <si>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</si>
  <si>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</si>
  <si>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</si>
  <si>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</si>
  <si>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</si>
  <si>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</si>
  <si>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</si>
  <si>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</si>
  <si>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</si>
  <si>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</si>
  <si>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</si>
  <si>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</si>
  <si>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</si>
  <si>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</si>
  <si>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</si>
  <si>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</si>
  <si>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</si>
  <si>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</si>
  <si>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</si>
  <si>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</si>
  <si>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</si>
  <si>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</si>
  <si>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</si>
  <si>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</si>
  <si>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</si>
  <si>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</si>
  <si>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</si>
  <si>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</si>
  <si>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</si>
  <si>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</si>
  <si>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</si>
  <si>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</si>
  <si>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</si>
  <si>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</si>
  <si>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</si>
  <si>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</si>
  <si>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</si>
  <si>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</si>
  <si>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</si>
  <si>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</si>
  <si>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</si>
  <si>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</si>
  <si>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</si>
  <si>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</si>
  <si>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</si>
  <si>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</si>
  <si>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</si>
  <si>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</si>
  <si>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</si>
  <si>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</si>
  <si>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</si>
  <si>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</si>
  <si>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</si>
  <si>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</si>
  <si>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</si>
  <si>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</si>
  <si>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</si>
  <si>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</si>
  <si>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</si>
  <si>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</si>
  <si>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</si>
  <si>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</si>
  <si>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</si>
  <si>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</si>
  <si>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</si>
  <si>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</si>
  <si>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</si>
  <si>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</si>
  <si>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</si>
  <si>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</si>
  <si>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</si>
  <si>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</si>
  <si>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</si>
  <si>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</si>
  <si>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</si>
  <si>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</si>
  <si>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</si>
  <si>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</si>
  <si>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</si>
  <si>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</si>
  <si>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</si>
  <si>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</si>
  <si>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</si>
  <si>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</si>
  <si>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</si>
  <si>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</si>
  <si>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</si>
  <si>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</si>
  <si>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</si>
  <si>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</si>
  <si>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</si>
  <si>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</si>
  <si>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</si>
  <si>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</si>
  <si>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</si>
  <si>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</si>
  <si>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</si>
  <si>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</si>
  <si>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</si>
  <si>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</si>
  <si>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</si>
  <si>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</si>
  <si>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</si>
  <si>
    <t>Graphical Bolted Joint</t>
  </si>
  <si>
    <t>Bolted Joint Test Chart</t>
  </si>
  <si>
    <t>Bolt Material Condition</t>
  </si>
  <si>
    <t>Value Name</t>
  </si>
  <si>
    <t>Min</t>
  </si>
  <si>
    <t>Plate Type</t>
  </si>
  <si>
    <t>Test Washer</t>
  </si>
  <si>
    <t>Washer Tested</t>
  </si>
  <si>
    <t>Plate Testing</t>
  </si>
  <si>
    <t>Bolt Name</t>
  </si>
  <si>
    <t>Test Bolt</t>
  </si>
  <si>
    <t>Thru Hole Plate</t>
  </si>
  <si>
    <t>Test Plate</t>
  </si>
  <si>
    <t>Plate Material Condition</t>
  </si>
  <si>
    <t>Average</t>
  </si>
  <si>
    <t>Pitch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</si>
</sst>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0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D7-4F2A-8D14-4F4B483C0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35528"/>
        <c:axId val="751430608"/>
      </c:scatterChart>
      <c:valAx>
        <c:axId val="75143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608"/>
        <c:crosses val="autoZero"/>
        <c:crossBetween val="midCat"/>
      </c:valAx>
      <c:valAx>
        <c:axId val="7514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Bolted Joint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Test Bolt Left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-0.10505</c:v>
              </c:pt>
              <c:pt idx="1">
                <c:v>-0.10505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E82-4722-9132-0B4BC93B7A80}"/>
            </c:ext>
          </c:extLst>
        </c:ser>
        <c:ser>
          <c:idx val="1"/>
          <c:order val="1"/>
          <c:tx>
            <c:v>Test Bolt Right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0.10505</c:v>
              </c:pt>
              <c:pt idx="1">
                <c:v>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E82-4722-9132-0B4BC93B7A80}"/>
            </c:ext>
          </c:extLst>
        </c:ser>
        <c:ser>
          <c:idx val="2"/>
          <c:order val="2"/>
          <c:tx>
            <c:v>Test Bolt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5"/>
              <c:pt idx="0">
                <c:v>-0.1875</c:v>
              </c:pt>
              <c:pt idx="1">
                <c:v>-0.125</c:v>
              </c:pt>
              <c:pt idx="2">
                <c:v>-0.125</c:v>
              </c:pt>
              <c:pt idx="3">
                <c:v>-0.125</c:v>
              </c:pt>
              <c:pt idx="4">
                <c:v>-0.125</c:v>
              </c:pt>
              <c:pt idx="5">
                <c:v>-0.10505</c:v>
              </c:pt>
              <c:pt idx="6">
                <c:v>0.10505</c:v>
              </c:pt>
              <c:pt idx="7">
                <c:v>0.125</c:v>
              </c:pt>
              <c:pt idx="8">
                <c:v>0.125</c:v>
              </c:pt>
              <c:pt idx="9">
                <c:v>0.125</c:v>
              </c:pt>
              <c:pt idx="10">
                <c:v>0.125</c:v>
              </c:pt>
              <c:pt idx="11">
                <c:v>0.1875</c:v>
              </c:pt>
              <c:pt idx="12">
                <c:v>0.1875</c:v>
              </c:pt>
              <c:pt idx="13">
                <c:v>-0.1875</c:v>
              </c:pt>
              <c:pt idx="14">
                <c:v>-0.1875</c:v>
              </c:pt>
            </c:numLit>
          </c:xVal>
          <c:y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-3.0000000000000027E-2</c:v>
              </c:pt>
              <c:pt idx="3">
                <c:v>-3.0000000000000027E-2</c:v>
              </c:pt>
              <c:pt idx="4">
                <c:v>-0.3392857142857143</c:v>
              </c:pt>
              <c:pt idx="5">
                <c:v>-0.375</c:v>
              </c:pt>
              <c:pt idx="6">
                <c:v>-0.375</c:v>
              </c:pt>
              <c:pt idx="7">
                <c:v>-0.3392857142857143</c:v>
              </c:pt>
              <c:pt idx="8">
                <c:v>-3.0000000000000027E-2</c:v>
              </c:pt>
              <c:pt idx="9">
                <c:v>-3.0000000000000027E-2</c:v>
              </c:pt>
              <c:pt idx="10">
                <c:v>0</c:v>
              </c:pt>
              <c:pt idx="11">
                <c:v>0</c:v>
              </c:pt>
              <c:pt idx="12">
                <c:v>0.25</c:v>
              </c:pt>
              <c:pt idx="13">
                <c:v>0.25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E82-4722-9132-0B4BC93B7A80}"/>
            </c:ext>
          </c:extLst>
        </c:ser>
        <c:ser>
          <c:idx val="5"/>
          <c:order val="3"/>
          <c:tx>
            <c:v>Test Plate Left</c:v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-0.25</c:v>
              </c:pt>
              <c:pt idx="1">
                <c:v>-0.25</c:v>
              </c:pt>
              <c:pt idx="2">
                <c:v>-0.14000000000000001</c:v>
              </c:pt>
              <c:pt idx="3">
                <c:v>-0.14000000000000001</c:v>
              </c:pt>
              <c:pt idx="4">
                <c:v>-0.25</c:v>
              </c:pt>
            </c:numLit>
          </c:xVal>
          <c:yVal>
            <c:numLit>
              <c:formatCode>General</c:formatCode>
              <c:ptCount val="5"/>
              <c:pt idx="0">
                <c:v>0.1125</c:v>
              </c:pt>
              <c:pt idx="1">
                <c:v>0</c:v>
              </c:pt>
              <c:pt idx="2">
                <c:v>0</c:v>
              </c:pt>
              <c:pt idx="3">
                <c:v>0.1125</c:v>
              </c:pt>
              <c:pt idx="4">
                <c:v>0.1125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AE82-4722-9132-0B4BC93B7A80}"/>
            </c:ext>
          </c:extLst>
        </c:ser>
        <c:ser>
          <c:idx val="6"/>
          <c:order val="4"/>
          <c:tx>
            <c:v>Test Plate Right</c:v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0.25</c:v>
              </c:pt>
              <c:pt idx="2">
                <c:v>0.14000000000000001</c:v>
              </c:pt>
              <c:pt idx="3">
                <c:v>0.14000000000000001</c:v>
              </c:pt>
              <c:pt idx="4">
                <c:v>0.25</c:v>
              </c:pt>
            </c:numLit>
          </c:xVal>
          <c:yVal>
            <c:numLit>
              <c:formatCode>General</c:formatCode>
              <c:ptCount val="5"/>
              <c:pt idx="0">
                <c:v>0.1125</c:v>
              </c:pt>
              <c:pt idx="1">
                <c:v>0</c:v>
              </c:pt>
              <c:pt idx="2">
                <c:v>0</c:v>
              </c:pt>
              <c:pt idx="3">
                <c:v>0.1125</c:v>
              </c:pt>
              <c:pt idx="4">
                <c:v>0.1125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AE82-4722-9132-0B4BC93B7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71264"/>
        <c:axId val="747471920"/>
      </c:scatterChart>
      <c:valAx>
        <c:axId val="74747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71920"/>
        <c:crosses val="autoZero"/>
        <c:crossBetween val="midCat"/>
      </c:valAx>
      <c:valAx>
        <c:axId val="7474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7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138545</xdr:colOff>
      <xdr:row>62</xdr:row>
      <xdr:rowOff>53686</xdr:rowOff>
    </xdr:from>
    <xdr:to>
      <xdr:col>5</xdr:col>
      <xdr:colOff>1086715</xdr:colOff>
      <xdr:row>76</xdr:row>
      <xdr:rowOff>129886</xdr:rowOff>
    </xdr:to>
    <xdr:graphicFrame macro="">
      <xdr:nvGraphicFramePr>
        <xdr:cNvPr id="11" name="Bolt Test Chart">
          <a:extLst>
            <a:ext uri="{FF2B5EF4-FFF2-40B4-BE49-F238E27FC236}">
              <a16:creationId xmlns:a16="http://schemas.microsoft.com/office/drawing/2014/main" id="{E85E4530-9B2A-44C2-AA1C-8BFF15203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1147762</xdr:colOff>
      <xdr:row>83</xdr:row>
      <xdr:rowOff>17650</xdr:rowOff>
    </xdr:from>
    <xdr:to>
      <xdr:col>5</xdr:col>
      <xdr:colOff>2103064</xdr:colOff>
      <xdr:row>98</xdr:row>
      <xdr:rowOff>93850</xdr:rowOff>
    </xdr:to>
    <xdr:graphicFrame macro="">
      <xdr:nvGraphicFramePr>
        <xdr:cNvPr id="2" name="Bolted Joint Test Chart">
          <a:extLst>
            <a:ext uri="{FF2B5EF4-FFF2-40B4-BE49-F238E27FC236}">
              <a16:creationId xmlns:a16="http://schemas.microsoft.com/office/drawing/2014/main" id="{0D210F2B-927F-437C-AFD9-7B327B9F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topLeftCell="A4" zoomScaleNormal="100" workbookViewId="0">
      <selection activeCell="B57" sqref="B57:B58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B10" t="s">
        <v>12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119"/>
  <sheetViews>
    <sheetView tabSelected="1" zoomScale="85" zoomScaleNormal="85" workbookViewId="0">
      <selection activeCell="E22" sqref="E22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t="e" cm="1">
        <f t="array" ref="B13">ThreadDimensions($B$12,A13)</f>
        <v>#VALUE!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e" cm="1">
        <f t="array" ref="B15">ThreadDimensions($B$12,A15)</f>
        <v>#VALUE!</v>
      </c>
      <c r="C15" t="s">
        <v>92</v>
      </c>
      <c r="D15" t="e" cm="1">
        <f t="array" ref="D15">ThreadDimensions($B$12,C15)</f>
        <v>#VALUE!</v>
      </c>
    </row>
    <row r="16" spans="1:4" x14ac:dyDescent="0.25">
      <c r="A16" t="s">
        <v>183</v>
      </c>
      <c r="B16" t="e" cm="1">
        <f t="array" ref="B16">ThreadDimensions($B$12,A16)</f>
        <v>#VALUE!</v>
      </c>
      <c r="C16" t="s">
        <v>192</v>
      </c>
      <c r="D16" t="e" cm="1">
        <f t="array" ref="D16">ThreadDimensions($B$12,C16)</f>
        <v>#VALUE!</v>
      </c>
    </row>
    <row r="17" spans="1:7" x14ac:dyDescent="0.25">
      <c r="A17" t="s">
        <v>184</v>
      </c>
      <c r="B17" t="e" cm="1">
        <f t="array" ref="B17">ThreadDimensions($B$12,A17)</f>
        <v>#VALUE!</v>
      </c>
      <c r="C17" t="s">
        <v>193</v>
      </c>
      <c r="D17" t="e" cm="1">
        <f t="array" ref="D17">ThreadDimensions($B$12,C17)</f>
        <v>#VALUE!</v>
      </c>
    </row>
    <row r="18" spans="1:7" x14ac:dyDescent="0.25">
      <c r="A18" t="s">
        <v>185</v>
      </c>
      <c r="B18" t="e" cm="1">
        <f t="array" ref="B18">ThreadDimensions($B$12,A18)</f>
        <v>#VALUE!</v>
      </c>
      <c r="C18" t="s">
        <v>194</v>
      </c>
      <c r="D18" t="e" cm="1">
        <f t="array" ref="D18">ThreadDimensions($B$12,C18)</f>
        <v>#VALUE!</v>
      </c>
    </row>
    <row r="19" spans="1:7" x14ac:dyDescent="0.25">
      <c r="A19" t="s">
        <v>186</v>
      </c>
      <c r="B19" t="e" cm="1">
        <f t="array" ref="B19">ThreadDimensions($B$12,A19)</f>
        <v>#VALUE!</v>
      </c>
      <c r="C19" t="s">
        <v>195</v>
      </c>
      <c r="D19" t="e" cm="1">
        <f t="array" ref="D19">ThreadDimensions($B$12,C19)</f>
        <v>#VALUE!</v>
      </c>
    </row>
    <row r="20" spans="1:7" x14ac:dyDescent="0.25">
      <c r="A20" t="s">
        <v>187</v>
      </c>
      <c r="B20" t="e" cm="1">
        <f t="array" ref="B20">ThreadDimensions($B$12,A20)</f>
        <v>#VALUE!</v>
      </c>
      <c r="C20" t="s">
        <v>196</v>
      </c>
      <c r="D20" t="e" cm="1">
        <f t="array" ref="D20">ThreadDimensions($B$12,C20)</f>
        <v>#VALUE!</v>
      </c>
    </row>
    <row r="21" spans="1:7" x14ac:dyDescent="0.25">
      <c r="A21" t="s">
        <v>188</v>
      </c>
      <c r="B21" t="e" cm="1">
        <f t="array" ref="B21">ThreadDimensions($B$12,A21)</f>
        <v>#VALUE!</v>
      </c>
      <c r="C21" t="s">
        <v>197</v>
      </c>
      <c r="D21" t="e" cm="1">
        <f t="array" ref="D21">ThreadDimensions($B$12,C21)</f>
        <v>#VALUE!</v>
      </c>
    </row>
    <row r="22" spans="1:7" x14ac:dyDescent="0.25">
      <c r="A22" t="s">
        <v>190</v>
      </c>
      <c r="B22" t="e" cm="1">
        <f t="array" ref="B22">ThreadDimensions($B$12,A22)</f>
        <v>#VALUE!</v>
      </c>
      <c r="C22" t="s">
        <v>239</v>
      </c>
      <c r="D22" t="e" cm="1">
        <f t="array" ref="D22">ThreadDimensions($B$12,C22)</f>
        <v>#VALUE!</v>
      </c>
    </row>
    <row r="23" spans="1:7" x14ac:dyDescent="0.25">
      <c r="A23" t="s">
        <v>218</v>
      </c>
      <c r="B23" t="e" cm="1">
        <f t="array" ref="B23">ThreadDimensions($B$12,A23)</f>
        <v>#VALUE!</v>
      </c>
    </row>
    <row r="24" spans="1:7" x14ac:dyDescent="0.25">
      <c r="A24" t="s">
        <v>219</v>
      </c>
      <c r="B24" t="e" cm="1">
        <f t="array" ref="B24">ThreadDimensions($B$12,A24)</f>
        <v>#VALUE!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aca="1" ref="B38" ca="1">BoltInputReader(B26:B36)</f>
        <v>#NAME?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e" cm="1">
        <f t="array" ref="B65">PlotDataRange(A63,A67,A68:A82,B68:B82)</f>
        <v>#VALUE!</v>
      </c>
    </row>
    <row r="67" spans="1:2" x14ac:dyDescent="0.25">
      <c r="A67" t="s">
        <v>50</v>
      </c>
    </row>
    <row r="68" spans="1:2" x14ac:dyDescent="0.25">
      <c r="A68" t="e" cm="1">
        <f t="array" aca="1" ref="A68" ca="1">BoltGeometryArray(B26:B36,B64)</f>
        <v>#NAME?</v>
      </c>
    </row>
    <row r="87" spans="1:2" x14ac:dyDescent="0.25">
      <c r="A87" t="s">
        <v>224</v>
      </c>
    </row>
    <row r="88" spans="1:2" x14ac:dyDescent="0.25">
      <c r="A88" t="s">
        <v>213</v>
      </c>
      <c r="B88" t="s">
        <v>225</v>
      </c>
    </row>
    <row r="89" spans="1:2" x14ac:dyDescent="0.25">
      <c r="A89" t="s">
        <v>233</v>
      </c>
      <c r="B89" t="s">
        <v>234</v>
      </c>
    </row>
    <row r="90" spans="1:2" x14ac:dyDescent="0.25">
      <c r="A90" t="s">
        <v>226</v>
      </c>
      <c r="B90" t="s">
        <v>222</v>
      </c>
    </row>
    <row r="91" spans="1:2" x14ac:dyDescent="0.25">
      <c r="A91" t="s">
        <v>221</v>
      </c>
      <c r="B91" t="e" cm="1">
        <f t="array" ref="B91">GraphicalBoltedJoint(B88,B89,B26:B36,B90,B114,B113,B117:C119,B115)</f>
        <v>#VALUE!</v>
      </c>
    </row>
    <row r="103" spans="1:3" x14ac:dyDescent="0.25">
      <c r="A103" t="s">
        <v>232</v>
      </c>
    </row>
    <row r="104" spans="1:3" x14ac:dyDescent="0.25">
      <c r="A104" t="s">
        <v>229</v>
      </c>
      <c r="B104" t="s">
        <v>12</v>
      </c>
    </row>
    <row r="105" spans="1:3" x14ac:dyDescent="0.25">
      <c r="A105" t="s">
        <v>11</v>
      </c>
      <c r="B105" t="s">
        <v>230</v>
      </c>
    </row>
    <row r="106" spans="1:3" x14ac:dyDescent="0.25">
      <c r="A106" t="s">
        <v>227</v>
      </c>
      <c r="B106" t="s">
        <v>181</v>
      </c>
      <c r="C106" t="s">
        <v>228</v>
      </c>
    </row>
    <row r="107" spans="1:3" x14ac:dyDescent="0.25">
      <c r="A107" t="s">
        <v>13</v>
      </c>
      <c r="B107">
        <v>6.0000000000000005E-2</v>
      </c>
      <c r="C107">
        <v>0.04</v>
      </c>
    </row>
    <row r="108" spans="1:3" x14ac:dyDescent="0.25">
      <c r="A108" t="s">
        <v>16</v>
      </c>
      <c r="B108">
        <v>0.29000000000000004</v>
      </c>
      <c r="C108">
        <v>0.27</v>
      </c>
    </row>
    <row r="109" spans="1:3" x14ac:dyDescent="0.25">
      <c r="A109" t="s">
        <v>20</v>
      </c>
      <c r="B109">
        <v>0.63500000000000001</v>
      </c>
      <c r="C109">
        <v>0.61499999999999999</v>
      </c>
    </row>
    <row r="111" spans="1:3" x14ac:dyDescent="0.25">
      <c r="A111" t="s">
        <v>231</v>
      </c>
      <c r="B111" t="e" cm="1">
        <f t="array" ref="B111">WasherTest(B105,B104,B107:C109)</f>
        <v>#VALUE!</v>
      </c>
    </row>
    <row r="113" spans="1:3" x14ac:dyDescent="0.25">
      <c r="A113" t="s">
        <v>229</v>
      </c>
      <c r="B113" t="s">
        <v>235</v>
      </c>
    </row>
    <row r="114" spans="1:3" x14ac:dyDescent="0.25">
      <c r="A114" t="s">
        <v>11</v>
      </c>
      <c r="B114" t="s">
        <v>236</v>
      </c>
    </row>
    <row r="115" spans="1:3" x14ac:dyDescent="0.25">
      <c r="A115" t="s">
        <v>237</v>
      </c>
      <c r="B115" t="s">
        <v>238</v>
      </c>
    </row>
    <row r="116" spans="1:3" x14ac:dyDescent="0.25">
      <c r="A116" t="s">
        <v>227</v>
      </c>
      <c r="B116" t="s">
        <v>181</v>
      </c>
      <c r="C116" t="s">
        <v>228</v>
      </c>
    </row>
    <row r="117" spans="1:3" x14ac:dyDescent="0.25">
      <c r="A117" t="s">
        <v>13</v>
      </c>
      <c r="B117">
        <v>0.125</v>
      </c>
      <c r="C117">
        <v>0.1</v>
      </c>
    </row>
    <row r="118" spans="1:3" x14ac:dyDescent="0.25">
      <c r="A118" t="s">
        <v>16</v>
      </c>
      <c r="B118">
        <v>0.29000000000000004</v>
      </c>
      <c r="C118">
        <v>0.27</v>
      </c>
    </row>
    <row r="119" spans="1:3" x14ac:dyDescent="0.25">
      <c r="A119" t="s">
        <v>19</v>
      </c>
      <c r="B119">
        <v>0.25</v>
      </c>
      <c r="C119">
        <v>0.25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workbookViewId="0">
      <selection activeCell="C32" sqref="C32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2022-02-27T15:13:37Z</dcterms:modified>
</cp:coreProperties>
</file>