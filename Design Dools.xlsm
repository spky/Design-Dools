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99E13FF4-5072-4669-B8E8-D4C062C5A12C}" xr6:coauthVersionLast="47" xr6:coauthVersionMax="47" xr10:uidLastSave="{00000000-0000-0000-0000-000000000000}"/>
  <bookViews>
    <workbookView xWindow="38280" yWindow="-120" windowWidth="29040" windowHeight="158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3" i="3" l="1"/>
  <c r="B44" i="3"/>
  <c r="B45" i="3"/>
  <c r="B46" i="3"/>
  <c r="B47" i="3"/>
  <c r="B48" i="3"/>
  <c r="B49" i="3"/>
  <c r="B50" i="3"/>
  <c r="D50" i="3" s="1"/>
  <c r="E50" i="3" s="1"/>
  <c r="B51" i="3"/>
  <c r="D51" i="3" s="1"/>
  <c r="E51" i="3" s="1"/>
  <c r="B52" i="3"/>
  <c r="D52" i="3" s="1"/>
  <c r="E52" i="3" s="1"/>
  <c r="B53" i="3"/>
  <c r="D53" i="3" s="1"/>
  <c r="E53" i="3" s="1"/>
  <c r="B54" i="3"/>
  <c r="D54" i="3" s="1"/>
  <c r="E54" i="3" s="1"/>
  <c r="B42" i="3"/>
  <c r="D42" i="3" s="1"/>
  <c r="E42" i="3" s="1"/>
  <c r="D49" i="3"/>
  <c r="E49" i="3" s="1"/>
  <c r="D48" i="3"/>
  <c r="E48" i="3" s="1"/>
  <c r="D47" i="3"/>
  <c r="E47" i="3" s="1"/>
  <c r="D46" i="3"/>
  <c r="E46" i="3" s="1"/>
  <c r="D45" i="3"/>
  <c r="E45" i="3" s="1"/>
  <c r="D44" i="3"/>
  <c r="E44" i="3" s="1"/>
  <c r="D43" i="3"/>
  <c r="E43" i="3" s="1"/>
  <c r="F29" i="3"/>
  <c r="G29" i="3" s="1"/>
  <c r="F35" i="3"/>
  <c r="G35" i="3" s="1"/>
  <c r="D25" i="3"/>
  <c r="F25" i="3" s="1"/>
  <c r="G25" i="3" s="1"/>
  <c r="D26" i="3"/>
  <c r="F26" i="3" s="1"/>
  <c r="G26" i="3" s="1"/>
  <c r="D27" i="3"/>
  <c r="F27" i="3" s="1"/>
  <c r="G27" i="3" s="1"/>
  <c r="D28" i="3"/>
  <c r="F28" i="3" s="1"/>
  <c r="G28" i="3" s="1"/>
  <c r="D29" i="3"/>
  <c r="D30" i="3"/>
  <c r="F30" i="3" s="1"/>
  <c r="G30" i="3" s="1"/>
  <c r="D31" i="3"/>
  <c r="F31" i="3" s="1"/>
  <c r="G31" i="3" s="1"/>
  <c r="D32" i="3"/>
  <c r="F32" i="3" s="1"/>
  <c r="G32" i="3" s="1"/>
  <c r="D33" i="3"/>
  <c r="F33" i="3" s="1"/>
  <c r="G33" i="3" s="1"/>
  <c r="D34" i="3"/>
  <c r="F34" i="3" s="1"/>
  <c r="G34" i="3" s="1"/>
  <c r="D35" i="3"/>
  <c r="D36" i="3"/>
  <c r="F36" i="3" s="1"/>
  <c r="G36" i="3" s="1"/>
  <c r="D24" i="3"/>
  <c r="F24" i="3" s="1"/>
  <c r="G24" i="3" s="1"/>
  <c r="B33" i="3"/>
  <c r="B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57" i="3" a="1"/>
  <c r="B56" i="3" a="1"/>
  <c r="B16" i="3" a="1"/>
  <c r="B13" i="3" a="1"/>
  <c r="D20" i="3" a="1"/>
  <c r="B19" i="3" a="1"/>
  <c r="D15" i="3" a="1"/>
  <c r="D17" i="3" a="1"/>
  <c r="D18" i="3" a="1"/>
  <c r="B17" i="3" a="1"/>
  <c r="B36" i="3" a="1"/>
  <c r="B15" i="3" a="1"/>
  <c r="B21" i="3" a="1"/>
  <c r="D16" i="3" a="1"/>
  <c r="D19" i="3" a="1"/>
  <c r="B18" i="3" a="1"/>
  <c r="B22" i="3" a="1"/>
  <c r="B20" i="3" a="1"/>
  <c r="D21" i="3" a="1"/>
  <c r="B57" i="3" l="1"/>
  <c r="B56" i="3"/>
  <c r="B36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<sst xmlns="http://schemas.openxmlformats.org/spreadsheetml/2006/main" count="817" uniqueCount="220">
  <si>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</si>
  <si>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</si>
  <si>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</si>
  <si>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</si>
  <si>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</si>
  <si>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</si>
  <si>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</si>
  <si>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</si>
  <si>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</si>
  <si>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</si>
  <si>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</si>
  <si>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</si>
  <si>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</si>
  <si>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</si>
  <si>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</si>
  <si>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</si>
  <si>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</si>
  <si>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</si>
  <si>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</si>
  <si>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</si>
  <si>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</si>
  <si>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</si>
  <si>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</si>
  <si>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</si>
  <si>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</si>
  <si>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</si>
  <si>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</si>
  <si>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</si>
  <si>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</si>
  <si>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</si>
  <si>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</si>
  <si>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</si>
  <si>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</si>
  <si>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</si>
  <si>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</si>
  <si>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</si>
  <si>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</si>
  <si>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</si>
  <si>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</si>
  <si>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</si>
  <si>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</si>
  <si>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</si>
  <si>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</si>
  <si>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</si>
  <si>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</si>
  <si>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</si>
  <si>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</si>
  <si>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</si>
  <si>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</si>
  <si>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</si>
  <si>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</si>
  <si>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</si>
  <si>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</si>
  <si>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</si>
  <si>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</si>
  <si>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</si>
  <si>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</si>
  <si>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</si>
  <si>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</si>
  <si>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</si>
  <si>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</si>
  <si>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</si>
  <si>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</si>
  <si>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</si>
  <si>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</si>
  <si>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</si>
  <si>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</si>
  <si>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</si>
  <si>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</si>
  <si>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</si>
  <si>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</si>
  <si>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</si>
  <si>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</si>
  <si>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</si>
  <si>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</si>
  <si>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</si>
  <si>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</si>
  <si>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</si>
  <si>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</si>
  <si>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</si>
  <si>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</si>
  <si>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</si>
  <si>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</si>
  <si>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</si>
  <si>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</si>
  <si>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</si>
  <si>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</si>
  <si>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</si>
  <si>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</si>
  <si>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</si>
  <si>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</si>
  <si>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</si>
  <si>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</si>
  <si>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</si>
  <si>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</si>
  <si>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</si>
  <si>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</si>
  <si>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</si>
  <si>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</si>
  <si>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</si>
  <si>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</si>
  <si>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</si>
  <si>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</si>
  <si>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</si>
  <si>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</si>
  <si>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</si>
  <si>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</si>
  <si>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</si>
  <si>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</si>
  <si>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</si>
  <si>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</si>
  <si>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</si>
  <si>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</si>
  <si>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</si>
  <si>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</si>
  <si>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</si>
  <si>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</si>
  <si>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</si>
  <si>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</si>
  <si>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</si>
  <si>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</si>
  <si>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</si>
  <si>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</si>
  <si>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</si>
  <si>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</si>
  <si>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</si>
  <si>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</si>
  <si>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</si>
  <si>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</si>
  <si>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</si>
  <si>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</si>
  <si>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</si>
  <si>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</si>
  <si>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</si>
  <si>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</si>
  <si>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</si>
  <si>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</si>
  <si>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</si>
  <si>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</si>
  <si>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</si>
  <si>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</si>
  <si>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</si>
  <si>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</si>
  <si>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</si>
  <si>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</si>
  <si>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</si>
  <si>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</si>
  <si>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</si>
  <si>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</si>
  <si>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</si>
  <si>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</si>
  <si>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</si>
  <si>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</si>
  <si>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</si>
  <si>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</si>
  <si>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</si>
  <si>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</si>
  <si>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</si>
  <si>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</si>
  <si>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</si>
  <si>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</si>
  <si>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</si>
  <si>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</si>
  <si>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</si>
  <si>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</si>
  <si>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</si>
  <si>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</si>
  <si>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</si>
  <si>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</si>
  <si>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</si>
  <si>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</si>
  <si>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</si>
  <si>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</si>
  <si>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</si>
  <si>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</si>
  <si>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</si>
  <si>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</si>
  <si>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</si>
  <si>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</si>
  <si>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</si>
  <si>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</si>
  <si>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</si>
  <si>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</si>
  <si>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</si>
  <si>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</si>
  <si>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</si>
  <si>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</si>
  <si>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</si>
  <si>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</si>
  <si>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</si>
  <si>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</si>
  <si>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</si>
  <si>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</si>
  <si>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</si>
  <si>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</si>
  <si>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</si>
  <si>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</si>
  <si>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</si>
  <si>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</si>
  <si>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</si>
  <si>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4–48 or 0.112–48 UNF CLASS 3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</si>
  <si>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</si>
  <si>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</si>
  <si>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</si>
  <si>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</si>
  <si>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</si>
  <si>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</si>
  <si>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</si>
  <si>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</si>
  <si>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</si>
  <si>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</si>
  <si>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</si>
  <si>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</si>
  <si>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</si>
  <si>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</si>
  <si>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</si>
  <si>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</si>
  <si>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</si>
  <si>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1 Plotted?</t>
  </si>
  <si>
    <t>Data 2 Plotted?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</si>
</sst>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Data 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Geometry'!$D$42:$D$54</c:f>
              <c:numCache>
                <c:formatCode>General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11</c:v>
                </c:pt>
                <c:pt idx="3">
                  <c:v>18</c:v>
                </c:pt>
                <c:pt idx="4">
                  <c:v>27</c:v>
                </c:pt>
                <c:pt idx="5">
                  <c:v>38</c:v>
                </c:pt>
                <c:pt idx="6">
                  <c:v>51</c:v>
                </c:pt>
                <c:pt idx="7">
                  <c:v>66</c:v>
                </c:pt>
                <c:pt idx="8">
                  <c:v>83</c:v>
                </c:pt>
                <c:pt idx="9">
                  <c:v>102</c:v>
                </c:pt>
                <c:pt idx="10">
                  <c:v>123</c:v>
                </c:pt>
                <c:pt idx="11">
                  <c:v>146</c:v>
                </c:pt>
                <c:pt idx="12">
                  <c:v>171</c:v>
                </c:pt>
              </c:numCache>
            </c:numRef>
          </c:xVal>
          <c:yVal>
            <c:numRef>
              <c:f>'Manual Bolt Geometry'!$E$42:$E$54</c:f>
              <c:numCache>
                <c:formatCode>General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13</c:v>
                </c:pt>
                <c:pt idx="3">
                  <c:v>20</c:v>
                </c:pt>
                <c:pt idx="4">
                  <c:v>29</c:v>
                </c:pt>
                <c:pt idx="5">
                  <c:v>40</c:v>
                </c:pt>
                <c:pt idx="6">
                  <c:v>53</c:v>
                </c:pt>
                <c:pt idx="7">
                  <c:v>68</c:v>
                </c:pt>
                <c:pt idx="8">
                  <c:v>85</c:v>
                </c:pt>
                <c:pt idx="9">
                  <c:v>104</c:v>
                </c:pt>
                <c:pt idx="10">
                  <c:v>125</c:v>
                </c:pt>
                <c:pt idx="11">
                  <c:v>148</c:v>
                </c:pt>
                <c:pt idx="12">
                  <c:v>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7-44FC-BC49-60C3959EE014}"/>
            </c:ext>
          </c:extLst>
        </c:ser>
        <c:ser>
          <c:idx val="1"/>
          <c:order val="1"/>
          <c:tx>
            <c:v>Data 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Geometry'!$A$42:$A$54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'Manual Bolt Geometry'!$B$42:$B$54</c:f>
              <c:numCache>
                <c:formatCode>General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  <c:pt idx="10">
                  <c:v>121</c:v>
                </c:pt>
                <c:pt idx="11">
                  <c:v>144</c:v>
                </c:pt>
                <c:pt idx="12">
                  <c:v>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E7-44FC-BC49-60C3959EE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26584"/>
        <c:axId val="791726912"/>
      </c:scatterChart>
      <c:valAx>
        <c:axId val="791726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26912"/>
        <c:crosses val="autoZero"/>
        <c:crossBetween val="midCat"/>
      </c:valAx>
      <c:valAx>
        <c:axId val="79172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26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80962</xdr:colOff>
      <xdr:row>35</xdr:row>
      <xdr:rowOff>61912</xdr:rowOff>
    </xdr:from>
    <xdr:to>
      <xdr:col>5</xdr:col>
      <xdr:colOff>1033462</xdr:colOff>
      <xdr:row>49</xdr:row>
      <xdr:rowOff>138112</xdr:rowOff>
    </xdr:to>
    <xdr:graphicFrame macro="">
      <xdr:nvGraphicFramePr>
        <xdr:cNvPr id="60" name="Test Chart">
          <a:extLst>
            <a:ext uri="{FF2B5EF4-FFF2-40B4-BE49-F238E27FC236}">
              <a16:creationId xmlns:a16="http://schemas.microsoft.com/office/drawing/2014/main" id="{8103EB04-A593-43FE-BE79-C41C97F99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F10" sqref="F10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G57"/>
  <sheetViews>
    <sheetView tabSelected="1" topLeftCell="A34" workbookViewId="0">
      <selection activeCell="B43" sqref="B43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200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4" t="s">
        <v>198</v>
      </c>
      <c r="B14" s="4"/>
      <c r="C14" s="4" t="s">
        <v>199</v>
      </c>
      <c r="D14" s="4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0.112</v>
      </c>
      <c r="C16" t="s">
        <v>192</v>
      </c>
      <c r="D16" cm="1">
        <f t="array" ref="D16">ThreadDimensions($B$12,C16)</f>
        <v>0.112</v>
      </c>
    </row>
    <row r="17" spans="1:7" x14ac:dyDescent="0.25">
      <c r="A17" t="s">
        <v>184</v>
      </c>
      <c r="B17" cm="1">
        <f t="array" ref="B17">ThreadDimensions($B$12,A17)</f>
        <v>0.1075</v>
      </c>
      <c r="C17" t="s">
        <v>193</v>
      </c>
      <c r="D17" cm="1">
        <f t="array" ref="D17">ThreadDimensions($B$12,C17)</f>
        <v>9.6799999999999997E-2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8.9399999999999993E-2</v>
      </c>
    </row>
    <row r="19" spans="1:7" x14ac:dyDescent="0.25">
      <c r="A19" t="s">
        <v>186</v>
      </c>
      <c r="B19" cm="1">
        <f t="array" ref="B19">ThreadDimensions($B$12,A19)</f>
        <v>9.8500000000000004E-2</v>
      </c>
      <c r="C19" t="s">
        <v>195</v>
      </c>
      <c r="D19" cm="1">
        <f t="array" ref="D19">ThreadDimensions($B$12,C19)</f>
        <v>0.1008</v>
      </c>
    </row>
    <row r="20" spans="1:7" x14ac:dyDescent="0.25">
      <c r="A20" t="s">
        <v>187</v>
      </c>
      <c r="B20" cm="1">
        <f t="array" ref="B20">ThreadDimensions($B$12,A20)</f>
        <v>9.6699999999999994E-2</v>
      </c>
      <c r="C20" t="s">
        <v>196</v>
      </c>
      <c r="D20" cm="1">
        <f t="array" ref="D20">ThreadDimensions($B$12,C20)</f>
        <v>9.8500000000000004E-2</v>
      </c>
    </row>
    <row r="21" spans="1:7" x14ac:dyDescent="0.25">
      <c r="A21" t="s">
        <v>188</v>
      </c>
      <c r="B21" cm="1">
        <f t="array" ref="B21">ThreadDimensions($B$12,A21)</f>
        <v>1.8E-3</v>
      </c>
      <c r="C21" t="s">
        <v>197</v>
      </c>
      <c r="D21" cm="1">
        <f t="array" ref="D21">ThreadDimensions($B$12,C21)</f>
        <v>2.3E-3</v>
      </c>
    </row>
    <row r="22" spans="1:7" x14ac:dyDescent="0.25">
      <c r="A22" t="s">
        <v>190</v>
      </c>
      <c r="B22" cm="1">
        <f t="array" ref="B22">ThreadDimensions($B$12,A22)</f>
        <v>8.72E-2</v>
      </c>
    </row>
    <row r="24" spans="1:7" x14ac:dyDescent="0.25">
      <c r="A24" t="s">
        <v>201</v>
      </c>
      <c r="B24" t="s">
        <v>212</v>
      </c>
      <c r="C24">
        <v>1</v>
      </c>
      <c r="D24">
        <f>C24+2</f>
        <v>3</v>
      </c>
      <c r="F24">
        <f>D24+2</f>
        <v>5</v>
      </c>
      <c r="G24">
        <f>F24+2</f>
        <v>7</v>
      </c>
    </row>
    <row r="25" spans="1:7" x14ac:dyDescent="0.25">
      <c r="A25" t="s">
        <v>202</v>
      </c>
      <c r="B25">
        <v>0.25</v>
      </c>
      <c r="C25">
        <v>2</v>
      </c>
      <c r="D25">
        <f t="shared" ref="D25:E36" si="0">C25+2</f>
        <v>4</v>
      </c>
      <c r="F25">
        <f>D25+2</f>
        <v>6</v>
      </c>
      <c r="G25">
        <f t="shared" ref="G25:G36" si="1">F25+2</f>
        <v>8</v>
      </c>
    </row>
    <row r="26" spans="1:7" x14ac:dyDescent="0.25">
      <c r="A26" t="s">
        <v>203</v>
      </c>
      <c r="B26">
        <v>0.24349999999999999</v>
      </c>
      <c r="C26">
        <v>3</v>
      </c>
      <c r="D26">
        <f t="shared" si="0"/>
        <v>5</v>
      </c>
      <c r="F26">
        <f>D26+2</f>
        <v>7</v>
      </c>
      <c r="G26">
        <f t="shared" si="1"/>
        <v>9</v>
      </c>
    </row>
    <row r="27" spans="1:7" x14ac:dyDescent="0.25">
      <c r="A27" t="s">
        <v>204</v>
      </c>
      <c r="B27">
        <v>0.375</v>
      </c>
      <c r="C27">
        <v>4</v>
      </c>
      <c r="D27">
        <f t="shared" si="0"/>
        <v>6</v>
      </c>
      <c r="F27">
        <f>D27+2</f>
        <v>8</v>
      </c>
      <c r="G27">
        <f t="shared" si="1"/>
        <v>10</v>
      </c>
    </row>
    <row r="28" spans="1:7" x14ac:dyDescent="0.25">
      <c r="A28" t="s">
        <v>205</v>
      </c>
      <c r="B28">
        <v>0.36499999999999999</v>
      </c>
      <c r="C28">
        <v>5</v>
      </c>
      <c r="D28">
        <f t="shared" si="0"/>
        <v>7</v>
      </c>
      <c r="F28">
        <f>D28+2</f>
        <v>9</v>
      </c>
      <c r="G28">
        <f t="shared" si="1"/>
        <v>11</v>
      </c>
    </row>
    <row r="29" spans="1:7" x14ac:dyDescent="0.25">
      <c r="A29" t="s">
        <v>206</v>
      </c>
      <c r="B29">
        <v>0.25</v>
      </c>
      <c r="C29">
        <v>6</v>
      </c>
      <c r="D29">
        <f t="shared" si="0"/>
        <v>8</v>
      </c>
      <c r="F29">
        <f>D29+2</f>
        <v>10</v>
      </c>
      <c r="G29">
        <f t="shared" si="1"/>
        <v>12</v>
      </c>
    </row>
    <row r="30" spans="1:7" x14ac:dyDescent="0.25">
      <c r="A30" t="s">
        <v>207</v>
      </c>
      <c r="B30">
        <v>0.24399999999999999</v>
      </c>
      <c r="C30">
        <v>7</v>
      </c>
      <c r="D30">
        <f t="shared" si="0"/>
        <v>9</v>
      </c>
      <c r="F30">
        <f>D30+2</f>
        <v>11</v>
      </c>
      <c r="G30">
        <f t="shared" si="1"/>
        <v>13</v>
      </c>
    </row>
    <row r="31" spans="1:7" x14ac:dyDescent="0.25">
      <c r="A31" t="s">
        <v>208</v>
      </c>
      <c r="B31">
        <f>1/28</f>
        <v>3.5714285714285712E-2</v>
      </c>
      <c r="C31">
        <v>8</v>
      </c>
      <c r="D31">
        <f t="shared" si="0"/>
        <v>10</v>
      </c>
      <c r="F31">
        <f>D31+2</f>
        <v>12</v>
      </c>
      <c r="G31">
        <f t="shared" si="1"/>
        <v>14</v>
      </c>
    </row>
    <row r="32" spans="1:7" x14ac:dyDescent="0.25">
      <c r="A32" t="s">
        <v>209</v>
      </c>
      <c r="B32">
        <v>1</v>
      </c>
      <c r="C32">
        <v>9</v>
      </c>
      <c r="D32">
        <f t="shared" si="0"/>
        <v>11</v>
      </c>
      <c r="F32">
        <f>D32+2</f>
        <v>13</v>
      </c>
      <c r="G32">
        <f t="shared" si="1"/>
        <v>15</v>
      </c>
    </row>
    <row r="33" spans="1:7" x14ac:dyDescent="0.25">
      <c r="A33" t="s">
        <v>210</v>
      </c>
      <c r="B33">
        <f>B34-0.03</f>
        <v>0.34499999999999997</v>
      </c>
      <c r="C33">
        <v>10</v>
      </c>
      <c r="D33">
        <f t="shared" si="0"/>
        <v>12</v>
      </c>
      <c r="F33">
        <f>D33+2</f>
        <v>14</v>
      </c>
      <c r="G33">
        <f t="shared" si="1"/>
        <v>16</v>
      </c>
    </row>
    <row r="34" spans="1:7" x14ac:dyDescent="0.25">
      <c r="A34" t="s">
        <v>211</v>
      </c>
      <c r="B34">
        <v>0.375</v>
      </c>
      <c r="C34">
        <v>11</v>
      </c>
      <c r="D34">
        <f t="shared" si="0"/>
        <v>13</v>
      </c>
      <c r="F34">
        <f>D34+2</f>
        <v>15</v>
      </c>
      <c r="G34">
        <f t="shared" si="1"/>
        <v>17</v>
      </c>
    </row>
    <row r="35" spans="1:7" x14ac:dyDescent="0.25">
      <c r="C35">
        <v>12</v>
      </c>
      <c r="D35">
        <f t="shared" si="0"/>
        <v>14</v>
      </c>
      <c r="F35">
        <f>D35+2</f>
        <v>16</v>
      </c>
      <c r="G35">
        <f t="shared" si="1"/>
        <v>18</v>
      </c>
    </row>
    <row r="36" spans="1:7" x14ac:dyDescent="0.25">
      <c r="B36" cm="1">
        <f t="array" ref="B36">BoltInputReader(B24:B34)</f>
        <v>1</v>
      </c>
      <c r="C36">
        <v>13</v>
      </c>
      <c r="D36">
        <f t="shared" si="0"/>
        <v>15</v>
      </c>
      <c r="F36">
        <f>D36+2</f>
        <v>17</v>
      </c>
      <c r="G36">
        <f t="shared" si="1"/>
        <v>19</v>
      </c>
    </row>
    <row r="39" spans="1:7" x14ac:dyDescent="0.25">
      <c r="A39" t="s">
        <v>213</v>
      </c>
    </row>
    <row r="40" spans="1:7" x14ac:dyDescent="0.25">
      <c r="A40" t="s">
        <v>214</v>
      </c>
      <c r="B40" t="s">
        <v>215</v>
      </c>
    </row>
    <row r="41" spans="1:7" x14ac:dyDescent="0.25">
      <c r="A41" t="s">
        <v>217</v>
      </c>
      <c r="D41" t="s">
        <v>216</v>
      </c>
    </row>
    <row r="42" spans="1:7" x14ac:dyDescent="0.25">
      <c r="A42">
        <v>1</v>
      </c>
      <c r="B42">
        <f>A42^2</f>
        <v>1</v>
      </c>
      <c r="D42">
        <f>B42+2</f>
        <v>3</v>
      </c>
      <c r="E42">
        <f>D42+2</f>
        <v>5</v>
      </c>
    </row>
    <row r="43" spans="1:7" x14ac:dyDescent="0.25">
      <c r="A43">
        <v>2</v>
      </c>
      <c r="B43">
        <f t="shared" ref="B43:B54" si="2">A43^2</f>
        <v>4</v>
      </c>
      <c r="D43">
        <f>B43+2</f>
        <v>6</v>
      </c>
      <c r="E43">
        <f t="shared" ref="E43:E54" si="3">D43+2</f>
        <v>8</v>
      </c>
    </row>
    <row r="44" spans="1:7" x14ac:dyDescent="0.25">
      <c r="A44">
        <v>3</v>
      </c>
      <c r="B44">
        <f t="shared" si="2"/>
        <v>9</v>
      </c>
      <c r="D44">
        <f>B44+2</f>
        <v>11</v>
      </c>
      <c r="E44">
        <f t="shared" si="3"/>
        <v>13</v>
      </c>
    </row>
    <row r="45" spans="1:7" x14ac:dyDescent="0.25">
      <c r="A45">
        <v>4</v>
      </c>
      <c r="B45">
        <f t="shared" si="2"/>
        <v>16</v>
      </c>
      <c r="D45">
        <f>B45+2</f>
        <v>18</v>
      </c>
      <c r="E45">
        <f t="shared" si="3"/>
        <v>20</v>
      </c>
    </row>
    <row r="46" spans="1:7" x14ac:dyDescent="0.25">
      <c r="A46">
        <v>5</v>
      </c>
      <c r="B46">
        <f t="shared" si="2"/>
        <v>25</v>
      </c>
      <c r="D46">
        <f>B46+2</f>
        <v>27</v>
      </c>
      <c r="E46">
        <f t="shared" si="3"/>
        <v>29</v>
      </c>
    </row>
    <row r="47" spans="1:7" x14ac:dyDescent="0.25">
      <c r="A47">
        <v>6</v>
      </c>
      <c r="B47">
        <f t="shared" si="2"/>
        <v>36</v>
      </c>
      <c r="D47">
        <f>B47+2</f>
        <v>38</v>
      </c>
      <c r="E47">
        <f t="shared" si="3"/>
        <v>40</v>
      </c>
    </row>
    <row r="48" spans="1:7" x14ac:dyDescent="0.25">
      <c r="A48">
        <v>7</v>
      </c>
      <c r="B48">
        <f t="shared" si="2"/>
        <v>49</v>
      </c>
      <c r="D48">
        <f>B48+2</f>
        <v>51</v>
      </c>
      <c r="E48">
        <f t="shared" si="3"/>
        <v>53</v>
      </c>
    </row>
    <row r="49" spans="1:5" x14ac:dyDescent="0.25">
      <c r="A49">
        <v>8</v>
      </c>
      <c r="B49">
        <f t="shared" si="2"/>
        <v>64</v>
      </c>
      <c r="D49">
        <f>B49+2</f>
        <v>66</v>
      </c>
      <c r="E49">
        <f t="shared" si="3"/>
        <v>68</v>
      </c>
    </row>
    <row r="50" spans="1:5" x14ac:dyDescent="0.25">
      <c r="A50">
        <v>9</v>
      </c>
      <c r="B50">
        <f t="shared" si="2"/>
        <v>81</v>
      </c>
      <c r="D50">
        <f>B50+2</f>
        <v>83</v>
      </c>
      <c r="E50">
        <f t="shared" si="3"/>
        <v>85</v>
      </c>
    </row>
    <row r="51" spans="1:5" x14ac:dyDescent="0.25">
      <c r="A51">
        <v>10</v>
      </c>
      <c r="B51">
        <f t="shared" si="2"/>
        <v>100</v>
      </c>
      <c r="D51">
        <f>B51+2</f>
        <v>102</v>
      </c>
      <c r="E51">
        <f t="shared" si="3"/>
        <v>104</v>
      </c>
    </row>
    <row r="52" spans="1:5" x14ac:dyDescent="0.25">
      <c r="A52">
        <v>11</v>
      </c>
      <c r="B52">
        <f t="shared" si="2"/>
        <v>121</v>
      </c>
      <c r="D52">
        <f>B52+2</f>
        <v>123</v>
      </c>
      <c r="E52">
        <f t="shared" si="3"/>
        <v>125</v>
      </c>
    </row>
    <row r="53" spans="1:5" x14ac:dyDescent="0.25">
      <c r="A53">
        <v>12</v>
      </c>
      <c r="B53">
        <f t="shared" si="2"/>
        <v>144</v>
      </c>
      <c r="D53">
        <f>B53+2</f>
        <v>146</v>
      </c>
      <c r="E53">
        <f t="shared" si="3"/>
        <v>148</v>
      </c>
    </row>
    <row r="54" spans="1:5" x14ac:dyDescent="0.25">
      <c r="A54">
        <v>13</v>
      </c>
      <c r="B54">
        <f t="shared" si="2"/>
        <v>169</v>
      </c>
      <c r="D54">
        <f>B54+2</f>
        <v>171</v>
      </c>
      <c r="E54">
        <f t="shared" si="3"/>
        <v>173</v>
      </c>
    </row>
    <row r="56" spans="1:5" x14ac:dyDescent="0.25">
      <c r="A56" t="s">
        <v>218</v>
      </c>
      <c r="B56" t="str" cm="1">
        <f t="array" ref="B56">PlotData(B40,A41,A42:A54,B42:B54)</f>
        <v>True</v>
      </c>
    </row>
    <row r="57" spans="1:5" x14ac:dyDescent="0.25">
      <c r="A57" t="s">
        <v>219</v>
      </c>
      <c r="B57" t="str" cm="1">
        <f t="array" ref="B57">PlotData(B40,D41,D42:D54,E42:E54)</f>
        <v>True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C1" workbookViewId="0">
      <selection activeCell="I27" sqref="I27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2022-02-18T02:01:53Z</dcterms:modified>
</cp:coreProperties>
</file>