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5293a2c2b79c1bd/Documents/GitHub/Design-Dools/"/>
    </mc:Choice>
  </mc:AlternateContent>
  <xr:revisionPtr revIDLastSave="36" documentId="6_{A3DF5BE5-AAD8-4408-95F1-153032B60FDF}" xr6:coauthVersionLast="47" xr6:coauthVersionMax="47" xr10:uidLastSave="{A0D1954E-9279-4045-92D4-44699A52AF3E}"/>
  <bookViews>
    <workbookView xWindow="-120" yWindow="-120" windowWidth="20730" windowHeight="11160" activeTab="1" xr2:uid="{6F0B30F9-4582-4E2D-A35A-950F4E72D355}"/>
  </bookViews>
  <sheets>
    <sheet name="Bolt in a Tapped Hole" sheetId="1" r:id="rId1"/>
    <sheet name="Manual Bolt Geometry" sheetId="3" r:id="rId2"/>
    <sheet name="ASME B1.1-2003 Dimension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9" i="3" l="1"/>
  <c r="B90" i="3" a="1"/>
  <c r="B38" i="3" a="1"/>
  <c r="B65" i="3" a="1"/>
  <c r="B90" i="3" l="1"/>
  <c r="B38" i="3"/>
  <c r="B65" i="3"/>
  <c r="B46" i="3"/>
  <c r="B45" i="3"/>
  <c r="D45" i="3" s="1"/>
  <c r="E45" i="3" s="1"/>
  <c r="G45" i="3" s="1"/>
  <c r="H45" i="3" s="1"/>
  <c r="D46" i="3"/>
  <c r="E46" i="3" s="1"/>
  <c r="G46" i="3" s="1"/>
  <c r="H46" i="3" s="1"/>
  <c r="B47" i="3"/>
  <c r="B48" i="3"/>
  <c r="B49" i="3"/>
  <c r="D49" i="3" s="1"/>
  <c r="E49" i="3" s="1"/>
  <c r="G49" i="3" s="1"/>
  <c r="B50" i="3"/>
  <c r="D50" i="3" s="1"/>
  <c r="E50" i="3" s="1"/>
  <c r="G50" i="3" s="1"/>
  <c r="H50" i="3" s="1"/>
  <c r="B51" i="3"/>
  <c r="D51" i="3" s="1"/>
  <c r="E51" i="3" s="1"/>
  <c r="G51" i="3" s="1"/>
  <c r="H51" i="3" s="1"/>
  <c r="B52" i="3"/>
  <c r="D52" i="3" s="1"/>
  <c r="E52" i="3" s="1"/>
  <c r="G52" i="3" s="1"/>
  <c r="H52" i="3" s="1"/>
  <c r="B53" i="3"/>
  <c r="D53" i="3" s="1"/>
  <c r="E53" i="3" s="1"/>
  <c r="G53" i="3" s="1"/>
  <c r="H53" i="3" s="1"/>
  <c r="B54" i="3"/>
  <c r="D54" i="3" s="1"/>
  <c r="E54" i="3" s="1"/>
  <c r="G54" i="3" s="1"/>
  <c r="H54" i="3" s="1"/>
  <c r="B55" i="3"/>
  <c r="D55" i="3" s="1"/>
  <c r="E55" i="3" s="1"/>
  <c r="G55" i="3" s="1"/>
  <c r="H55" i="3" s="1"/>
  <c r="B56" i="3"/>
  <c r="D56" i="3" s="1"/>
  <c r="E56" i="3" s="1"/>
  <c r="G56" i="3" s="1"/>
  <c r="H56" i="3" s="1"/>
  <c r="B44" i="3"/>
  <c r="D44" i="3" s="1"/>
  <c r="E44" i="3" s="1"/>
  <c r="G44" i="3" s="1"/>
  <c r="H44" i="3" s="1"/>
  <c r="D48" i="3"/>
  <c r="E48" i="3" s="1"/>
  <c r="G48" i="3" s="1"/>
  <c r="H48" i="3" s="1"/>
  <c r="D47" i="3"/>
  <c r="E47" i="3" s="1"/>
  <c r="G47" i="3" s="1"/>
  <c r="H47" i="3" s="1"/>
  <c r="D27" i="3"/>
  <c r="G27" i="3" s="1"/>
  <c r="D28" i="3"/>
  <c r="G28" i="3" s="1"/>
  <c r="D29" i="3"/>
  <c r="G29" i="3" s="1"/>
  <c r="D30" i="3"/>
  <c r="G30" i="3" s="1"/>
  <c r="D31" i="3"/>
  <c r="G31" i="3" s="1"/>
  <c r="D32" i="3"/>
  <c r="G32" i="3" s="1"/>
  <c r="D33" i="3"/>
  <c r="G33" i="3" s="1"/>
  <c r="D34" i="3"/>
  <c r="G34" i="3" s="1"/>
  <c r="D35" i="3"/>
  <c r="G35" i="3" s="1"/>
  <c r="D36" i="3"/>
  <c r="G36" i="3" s="1"/>
  <c r="D37" i="3"/>
  <c r="G37" i="3" s="1"/>
  <c r="D38" i="3"/>
  <c r="G38" i="3" s="1"/>
  <c r="D26" i="3"/>
  <c r="G26" i="3" s="1"/>
  <c r="B35" i="3"/>
  <c r="B3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2" i="2"/>
  <c r="L1" i="1"/>
  <c r="M3" i="1" s="1"/>
  <c r="M10" i="1" s="1"/>
  <c r="M11" i="1" s="1"/>
  <c r="N3" i="1"/>
  <c r="N11" i="1" s="1"/>
  <c r="O52" i="1"/>
  <c r="O53" i="1" s="1"/>
  <c r="O45" i="1"/>
  <c r="O49" i="1" s="1"/>
  <c r="M51" i="1"/>
  <c r="M52" i="1" s="1"/>
  <c r="M50" i="1"/>
  <c r="M48" i="1"/>
  <c r="M49" i="1" s="1"/>
  <c r="M46" i="1"/>
  <c r="M47" i="1" s="1"/>
  <c r="M45" i="1"/>
  <c r="M54" i="1" s="1"/>
  <c r="N33" i="1"/>
  <c r="N39" i="1" s="1"/>
  <c r="N31" i="1"/>
  <c r="N35" i="1" s="1"/>
  <c r="N41" i="1" s="1"/>
  <c r="N20" i="1"/>
  <c r="N26" i="1" s="1"/>
  <c r="N19" i="1"/>
  <c r="N25" i="1" s="1"/>
  <c r="N17" i="1"/>
  <c r="N21" i="1" s="1"/>
  <c r="D37" i="1"/>
  <c r="L45" i="1" s="1"/>
  <c r="M37" i="1"/>
  <c r="M40" i="1" s="1"/>
  <c r="M32" i="1"/>
  <c r="M33" i="1" s="1"/>
  <c r="M31" i="1"/>
  <c r="M35" i="1" s="1"/>
  <c r="M38" i="1"/>
  <c r="M39" i="1" s="1"/>
  <c r="M24" i="1"/>
  <c r="M25" i="1" s="1"/>
  <c r="M23" i="1"/>
  <c r="M26" i="1" s="1"/>
  <c r="M18" i="1"/>
  <c r="M19" i="1" s="1"/>
  <c r="M17" i="1"/>
  <c r="M20" i="1" s="1"/>
  <c r="E33" i="1"/>
  <c r="F33" i="1"/>
  <c r="E31" i="1"/>
  <c r="F31" i="1"/>
  <c r="E30" i="1"/>
  <c r="F30" i="1"/>
  <c r="E24" i="1"/>
  <c r="F24" i="1"/>
  <c r="E23" i="1"/>
  <c r="F23" i="1"/>
  <c r="E22" i="1"/>
  <c r="F22" i="1"/>
  <c r="E16" i="1"/>
  <c r="F16" i="1"/>
  <c r="E15" i="1"/>
  <c r="F15" i="1"/>
  <c r="E14" i="1"/>
  <c r="F14" i="1"/>
  <c r="E8" i="1"/>
  <c r="F8" i="1"/>
  <c r="E7" i="1"/>
  <c r="F7" i="1"/>
  <c r="E6" i="1"/>
  <c r="F6" i="1"/>
  <c r="E5" i="1"/>
  <c r="F5" i="1"/>
  <c r="E3" i="1"/>
  <c r="F3" i="1"/>
  <c r="I3" i="1" a="1"/>
  <c r="B17" i="3" a="1"/>
  <c r="D19" i="3" a="1"/>
  <c r="B20" i="3" a="1"/>
  <c r="B21" i="3" a="1"/>
  <c r="B24" i="3" a="1"/>
  <c r="B19" i="3" a="1"/>
  <c r="B22" i="3" a="1"/>
  <c r="B23" i="3" a="1"/>
  <c r="D21" i="3" a="1"/>
  <c r="D18" i="3" a="1"/>
  <c r="D16" i="3" a="1"/>
  <c r="B15" i="3" a="1"/>
  <c r="A68" i="3" a="1"/>
  <c r="B16" i="3" a="1"/>
  <c r="D20" i="3" a="1"/>
  <c r="D17" i="3" a="1"/>
  <c r="B18" i="3" a="1"/>
  <c r="D15" i="3" a="1"/>
  <c r="B13" i="3" a="1"/>
  <c r="A68" i="3" l="1"/>
  <c r="B24" i="3"/>
  <c r="B23" i="3"/>
  <c r="B18" i="3"/>
  <c r="D16" i="3"/>
  <c r="D21" i="3"/>
  <c r="B17" i="3"/>
  <c r="D18" i="3"/>
  <c r="D17" i="3"/>
  <c r="D15" i="3"/>
  <c r="B19" i="3"/>
  <c r="D20" i="3"/>
  <c r="B16" i="3"/>
  <c r="B20" i="3"/>
  <c r="B22" i="3"/>
  <c r="D19" i="3"/>
  <c r="B21" i="3"/>
  <c r="B15" i="3"/>
  <c r="B13" i="3"/>
  <c r="I3" i="1"/>
  <c r="N4" i="1"/>
  <c r="N5" i="1" s="1"/>
  <c r="N6" i="1" s="1"/>
  <c r="N8" i="1"/>
  <c r="N9" i="1" s="1"/>
  <c r="N10" i="1" s="1"/>
  <c r="M8" i="1"/>
  <c r="M9" i="1" s="1"/>
  <c r="M6" i="1"/>
  <c r="M7" i="1" s="1"/>
  <c r="M4" i="1"/>
  <c r="M5" i="1" s="1"/>
  <c r="N34" i="1"/>
  <c r="N40" i="1" s="1"/>
  <c r="L44" i="1"/>
  <c r="O51" i="1"/>
  <c r="O46" i="1"/>
  <c r="O47" i="1" s="1"/>
  <c r="O48" i="1"/>
  <c r="M53" i="1"/>
  <c r="N37" i="1"/>
  <c r="N32" i="1"/>
  <c r="N38" i="1" s="1"/>
  <c r="N18" i="1"/>
  <c r="N24" i="1" s="1"/>
  <c r="N27" i="1"/>
  <c r="N23" i="1"/>
  <c r="M41" i="1"/>
  <c r="M34" i="1"/>
  <c r="M27" i="1"/>
  <c r="M21" i="1"/>
  <c r="N7" i="1" l="1"/>
  <c r="N47" i="1"/>
  <c r="P47" i="1"/>
  <c r="P48" i="1" s="1"/>
  <c r="P53" i="1"/>
  <c r="P54" i="1" s="1"/>
  <c r="P45" i="1"/>
  <c r="N45" i="1"/>
  <c r="O55" i="1"/>
  <c r="O54" i="1"/>
  <c r="N54" i="1" l="1"/>
  <c r="N46" i="1"/>
  <c r="P46" i="1"/>
  <c r="P51" i="1"/>
  <c r="P49" i="1"/>
  <c r="N48" i="1"/>
  <c r="N53" i="1"/>
  <c r="N52" i="1" l="1"/>
  <c r="N49" i="1"/>
  <c r="P55" i="1"/>
  <c r="P52" i="1"/>
  <c r="N51" i="1" l="1"/>
  <c r="N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<sst xmlns="http://schemas.openxmlformats.org/spreadsheetml/2006/main" count="829" uniqueCount="227">
  <si>
    <t>Name</t>
  </si>
  <si>
    <t>Unit</t>
  </si>
  <si>
    <t>in</t>
  </si>
  <si>
    <t>Thread Pitch</t>
  </si>
  <si>
    <t>threads/in</t>
  </si>
  <si>
    <t>Length</t>
  </si>
  <si>
    <t>Threaded Length from Bottom End</t>
  </si>
  <si>
    <t>Nominal Value</t>
  </si>
  <si>
    <t>Bolt Info</t>
  </si>
  <si>
    <t>Bolt Head Diameter</t>
  </si>
  <si>
    <t>Bolt Head Height</t>
  </si>
  <si>
    <t>Plate Name</t>
  </si>
  <si>
    <t>Washer</t>
  </si>
  <si>
    <t>Thickness</t>
  </si>
  <si>
    <t>string</t>
  </si>
  <si>
    <t>Plate #1 Info</t>
  </si>
  <si>
    <t>Hole Diameter</t>
  </si>
  <si>
    <t>Plate #2 Info</t>
  </si>
  <si>
    <t>Loose Plate</t>
  </si>
  <si>
    <t>Edge Distance</t>
  </si>
  <si>
    <t>Outer Diameter</t>
  </si>
  <si>
    <t>Type</t>
  </si>
  <si>
    <t>Specific Washer</t>
  </si>
  <si>
    <t>Through Hole Plate</t>
  </si>
  <si>
    <t>Threaded Plate</t>
  </si>
  <si>
    <t>Static Plate</t>
  </si>
  <si>
    <t>Thread Major Diameter</t>
  </si>
  <si>
    <t>Bolt Major Diameter</t>
  </si>
  <si>
    <t>thread/in</t>
  </si>
  <si>
    <t>Plate #3 Info</t>
  </si>
  <si>
    <t>Negative Tolerance</t>
  </si>
  <si>
    <t>Positive Tolerance</t>
  </si>
  <si>
    <t>Minimum Value</t>
  </si>
  <si>
    <t>Maximum Value</t>
  </si>
  <si>
    <t>x coordinate</t>
  </si>
  <si>
    <t>y coordinate</t>
  </si>
  <si>
    <t>Left Washer</t>
  </si>
  <si>
    <t>Left Plate</t>
  </si>
  <si>
    <t>Washer Axis X Coordinate</t>
  </si>
  <si>
    <t>Plate Axis X Coordinate</t>
  </si>
  <si>
    <t>Plate Top Y Coordinate</t>
  </si>
  <si>
    <t>Drill End Angle</t>
  </si>
  <si>
    <t>Hole Depth</t>
  </si>
  <si>
    <t>Thread Depth</t>
  </si>
  <si>
    <t>Tap Pilot Diameter</t>
  </si>
  <si>
    <t>Drill End Point Height</t>
  </si>
  <si>
    <t>Thread</t>
  </si>
  <si>
    <t>Bolt Axis X Coordinate</t>
  </si>
  <si>
    <t>Washer Top Y Coordinate</t>
  </si>
  <si>
    <t>Bolt Head Bottom Y Coordinate</t>
  </si>
  <si>
    <t>Bolt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</si>
  <si>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</si>
  <si>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</si>
  <si>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</si>
  <si>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</si>
  <si>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</si>
  <si>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</si>
  <si>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</si>
  <si>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</si>
  <si>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</si>
  <si>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</si>
  <si>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</si>
  <si>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</si>
  <si>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</si>
  <si>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</si>
  <si>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</si>
  <si>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</si>
  <si>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</si>
  <si>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</si>
  <si>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</si>
  <si>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</si>
  <si>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</si>
  <si>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</si>
  <si>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</si>
  <si>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</si>
  <si>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</si>
  <si>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</si>
  <si>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</si>
  <si>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</si>
  <si>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</si>
  <si>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</si>
  <si>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</si>
  <si>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</si>
  <si>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</si>
  <si>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Nominal Size and Threads/in</t>
  </si>
  <si>
    <t>Allowance</t>
  </si>
  <si>
    <t>Major Diameter Max</t>
  </si>
  <si>
    <t>Major Diameter Min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</si>
  <si>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</si>
  <si>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</si>
  <si>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</si>
  <si>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</si>
  <si>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</si>
  <si>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</si>
  <si>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</si>
  <si>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UNEF</t>
  </si>
  <si>
    <t>1A</t>
  </si>
  <si>
    <t>1B</t>
  </si>
  <si>
    <t>UN</t>
  </si>
  <si>
    <t>Major Diameter Min Note 3</t>
  </si>
  <si>
    <t>0.164-32</t>
  </si>
  <si>
    <t>0.164-36</t>
  </si>
  <si>
    <t>0.190-24</t>
  </si>
  <si>
    <t>0.190-32</t>
  </si>
  <si>
    <t>0.216-24</t>
  </si>
  <si>
    <t>0.216-28</t>
  </si>
  <si>
    <t>0.216-32</t>
  </si>
  <si>
    <t>1⁄4-20</t>
  </si>
  <si>
    <t>0.2500-20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</si>
  <si>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</si>
  <si>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</si>
  <si>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</si>
  <si>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</si>
  <si>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</si>
  <si>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</si>
  <si>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</si>
  <si>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</si>
  <si>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</si>
  <si>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</si>
  <si>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</si>
  <si>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</si>
  <si>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</si>
  <si>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</si>
  <si>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</si>
  <si>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</si>
  <si>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</si>
  <si>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</si>
  <si>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</si>
  <si>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</si>
  <si>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</si>
  <si>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</si>
  <si>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</si>
  <si>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</si>
  <si>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</si>
  <si>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</si>
  <si>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</si>
  <si>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</si>
  <si>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</si>
  <si>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</si>
  <si>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</si>
  <si>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</si>
  <si>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</si>
  <si>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</si>
  <si>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</si>
  <si>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</si>
  <si>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</si>
  <si>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</si>
  <si>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</si>
  <si>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</si>
  <si>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</si>
  <si>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</si>
  <si>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</si>
  <si>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</si>
  <si>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</si>
  <si>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</si>
  <si>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</si>
  <si>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</si>
  <si>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</si>
  <si>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</si>
  <si>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</si>
  <si>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</si>
  <si>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</si>
  <si>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</si>
  <si>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10-32</t>
  </si>
  <si>
    <t>12-24</t>
  </si>
  <si>
    <t>12-28</t>
  </si>
  <si>
    <t>8-32</t>
  </si>
  <si>
    <t>8-36</t>
  </si>
  <si>
    <t>10-24</t>
  </si>
  <si>
    <t>12-32</t>
  </si>
  <si>
    <t>Fractional/Number Thread</t>
  </si>
  <si>
    <t>Or Column</t>
  </si>
  <si>
    <t>Decimal Thread</t>
  </si>
  <si>
    <t>Coarse/Fine</t>
  </si>
  <si>
    <t>Thread Class</t>
  </si>
  <si>
    <t>Bolt Type</t>
  </si>
  <si>
    <t>Socket Head Cap Screw</t>
  </si>
  <si>
    <t>Incomplete Thread End Length/End Chamfer Height</t>
  </si>
  <si>
    <t>Threaded Length from End</t>
  </si>
  <si>
    <t>Dimension Name</t>
  </si>
  <si>
    <t>Limit Dimensions</t>
  </si>
  <si>
    <t>Max</t>
  </si>
  <si>
    <t>Thread Dimension Output</t>
  </si>
  <si>
    <t>External Major Diameter Max</t>
  </si>
  <si>
    <t>External Major Diameter Min</t>
  </si>
  <si>
    <t>External Major Diameter ASME Note 3</t>
  </si>
  <si>
    <t>External Pitch Diameter Max</t>
  </si>
  <si>
    <t>External Pitch Diameter Min</t>
  </si>
  <si>
    <t>External Pitch Diameter Tolerance</t>
  </si>
  <si>
    <t>External Thread Class</t>
  </si>
  <si>
    <t>External UNR Minor Diameter Max Reference</t>
  </si>
  <si>
    <t>Thread Name</t>
  </si>
  <si>
    <t>Internal Thread Major Diameter Min</t>
  </si>
  <si>
    <t>Internal Thread Minor Diameter Max</t>
  </si>
  <si>
    <t>Internal Thread Minor Diameter Min</t>
  </si>
  <si>
    <t>Internal Thread Pitch Diameter Max</t>
  </si>
  <si>
    <t>Internal Thread Pitch Diameter Min</t>
  </si>
  <si>
    <t>Internal Thread Pitch Diameter Tolerance</t>
  </si>
  <si>
    <t>External Thread</t>
  </si>
  <si>
    <t>Internal Thread</t>
  </si>
  <si>
    <t>Thread Size</t>
  </si>
  <si>
    <t>Body Diameter Max</t>
  </si>
  <si>
    <t>Body Diameter Min</t>
  </si>
  <si>
    <t>Head Diameter Max</t>
  </si>
  <si>
    <t>Head Diameter Min</t>
  </si>
  <si>
    <t>Head Height Max</t>
  </si>
  <si>
    <t>Head Height Min</t>
  </si>
  <si>
    <t>Incomplete Thread Length at End</t>
  </si>
  <si>
    <t>Minimum Threaded Length</t>
  </si>
  <si>
    <t>Screw Length Min</t>
  </si>
  <si>
    <t>Screw Length Max</t>
  </si>
  <si>
    <t>1⁄4-28 or 0.2500-28 UNF CLASS 3</t>
  </si>
  <si>
    <t>Chart Generator Testing</t>
  </si>
  <si>
    <t>Chart Title</t>
  </si>
  <si>
    <t>Test Chart</t>
  </si>
  <si>
    <t>Data 2</t>
  </si>
  <si>
    <t>Data 1</t>
  </si>
  <si>
    <t>Data 3</t>
  </si>
  <si>
    <t>External Thread Minor Diameter Max</t>
  </si>
  <si>
    <t>External Thread Minor Diameter Min</t>
  </si>
  <si>
    <t>Bolt Test Chart</t>
  </si>
  <si>
    <t>Plotted?</t>
  </si>
  <si>
    <t>MMC</t>
  </si>
  <si>
    <t>Material Condition</t>
  </si>
  <si>
    <t>Graphical Bolted Joint</t>
  </si>
  <si>
    <t>Bolted Joint Test Chart</t>
  </si>
  <si>
    <t>Bolt Material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</si>
</sst>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/>
    <xf numFmtId="17" fontId="0" fillId="0" borderId="0" xfId="0" quotePrefix="1" applyNumberFormat="1"/>
    <xf numFmtId="16" fontId="0" fillId="0" borderId="0" xfId="0" quotePrefix="1" applyNumberFormat="1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9279092239836969E-2"/>
          <c:y val="2.4884213692038495E-2"/>
          <c:w val="0.94367358393688028"/>
          <c:h val="0.96238421369203841"/>
        </c:manualLayout>
      </c:layout>
      <c:scatterChart>
        <c:scatterStyle val="lineMarker"/>
        <c:varyColors val="0"/>
        <c:ser>
          <c:idx val="0"/>
          <c:order val="0"/>
          <c:tx>
            <c:v>Washer Left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'Bolt in a Tapped Hole'!$M$17:$M$27</c:f>
              <c:numCache>
                <c:formatCode>General</c:formatCode>
                <c:ptCount val="11"/>
                <c:pt idx="0">
                  <c:v>-0.3125</c:v>
                </c:pt>
                <c:pt idx="1">
                  <c:v>-0.14000000000000001</c:v>
                </c:pt>
                <c:pt idx="2">
                  <c:v>-0.14000000000000001</c:v>
                </c:pt>
                <c:pt idx="3">
                  <c:v>-0.3125</c:v>
                </c:pt>
                <c:pt idx="4">
                  <c:v>-0.3125</c:v>
                </c:pt>
                <c:pt idx="6">
                  <c:v>0.3125</c:v>
                </c:pt>
                <c:pt idx="7">
                  <c:v>0.14000000000000001</c:v>
                </c:pt>
                <c:pt idx="8">
                  <c:v>0.14000000000000001</c:v>
                </c:pt>
                <c:pt idx="9">
                  <c:v>0.3125</c:v>
                </c:pt>
                <c:pt idx="10">
                  <c:v>0.3125</c:v>
                </c:pt>
              </c:numCache>
            </c:numRef>
          </c:xVal>
          <c:yVal>
            <c:numRef>
              <c:f>'Bolt in a Tapped Hole'!$N$17:$N$27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0.05</c:v>
                </c:pt>
                <c:pt idx="3">
                  <c:v>0.05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0.05</c:v>
                </c:pt>
                <c:pt idx="9">
                  <c:v>0.05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80-4FF2-AA32-8E28F829200E}"/>
            </c:ext>
          </c:extLst>
        </c:ser>
        <c:ser>
          <c:idx val="2"/>
          <c:order val="2"/>
          <c:tx>
            <c:strRef>
              <c:f>'Bolt in a Tapped Hole'!$M$29</c:f>
              <c:strCache>
                <c:ptCount val="1"/>
                <c:pt idx="0">
                  <c:v>Left Plate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'Bolt in a Tapped Hole'!$M$31:$M$41</c:f>
              <c:numCache>
                <c:formatCode>General</c:formatCode>
                <c:ptCount val="11"/>
                <c:pt idx="0">
                  <c:v>-0.375</c:v>
                </c:pt>
                <c:pt idx="1">
                  <c:v>-0.2</c:v>
                </c:pt>
                <c:pt idx="2">
                  <c:v>-0.2</c:v>
                </c:pt>
                <c:pt idx="3">
                  <c:v>-0.375</c:v>
                </c:pt>
                <c:pt idx="4">
                  <c:v>-0.375</c:v>
                </c:pt>
                <c:pt idx="6">
                  <c:v>0.375</c:v>
                </c:pt>
                <c:pt idx="7">
                  <c:v>0.2</c:v>
                </c:pt>
                <c:pt idx="8">
                  <c:v>0.2</c:v>
                </c:pt>
                <c:pt idx="9">
                  <c:v>0.375</c:v>
                </c:pt>
                <c:pt idx="10">
                  <c:v>0.375</c:v>
                </c:pt>
              </c:numCache>
            </c:numRef>
          </c:xVal>
          <c:yVal>
            <c:numRef>
              <c:f>'Bolt in a Tapped Hole'!$N$31:$N$41</c:f>
              <c:numCache>
                <c:formatCode>General</c:formatCode>
                <c:ptCount val="11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</c:v>
                </c:pt>
                <c:pt idx="4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</c:v>
                </c:pt>
                <c:pt idx="10">
                  <c:v>-0.25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80-4FF2-AA32-8E28F829200E}"/>
            </c:ext>
          </c:extLst>
        </c:ser>
        <c:ser>
          <c:idx val="4"/>
          <c:order val="4"/>
          <c:tx>
            <c:strRef>
              <c:f>'Bolt in a Tapped Hole'!$M$43</c:f>
              <c:strCache>
                <c:ptCount val="1"/>
                <c:pt idx="0">
                  <c:v>Threaded Plate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398-4764-8B95-18A4B83F48F3}"/>
              </c:ext>
            </c:extLst>
          </c:dPt>
          <c:xVal>
            <c:numRef>
              <c:f>'Bolt in a Tapped Hole'!$M$45:$M$54</c:f>
              <c:numCache>
                <c:formatCode>General</c:formatCode>
                <c:ptCount val="10"/>
                <c:pt idx="0">
                  <c:v>-0.375</c:v>
                </c:pt>
                <c:pt idx="1">
                  <c:v>0.375</c:v>
                </c:pt>
                <c:pt idx="2">
                  <c:v>0.375</c:v>
                </c:pt>
                <c:pt idx="3">
                  <c:v>0.10050000000000001</c:v>
                </c:pt>
                <c:pt idx="4">
                  <c:v>0.10050000000000001</c:v>
                </c:pt>
                <c:pt idx="5">
                  <c:v>0</c:v>
                </c:pt>
                <c:pt idx="6">
                  <c:v>-0.10050000000000001</c:v>
                </c:pt>
                <c:pt idx="7">
                  <c:v>-0.10050000000000001</c:v>
                </c:pt>
                <c:pt idx="8">
                  <c:v>-0.375</c:v>
                </c:pt>
                <c:pt idx="9">
                  <c:v>-0.375</c:v>
                </c:pt>
              </c:numCache>
            </c:numRef>
          </c:xVal>
          <c:yVal>
            <c:numRef>
              <c:f>'Bolt in a Tapped Hole'!$N$45:$N$54</c:f>
              <c:numCache>
                <c:formatCode>General</c:formatCode>
                <c:ptCount val="10"/>
                <c:pt idx="0">
                  <c:v>-1.25</c:v>
                </c:pt>
                <c:pt idx="1">
                  <c:v>-1.25</c:v>
                </c:pt>
                <c:pt idx="2">
                  <c:v>-0.25</c:v>
                </c:pt>
                <c:pt idx="3">
                  <c:v>-0.25</c:v>
                </c:pt>
                <c:pt idx="4">
                  <c:v>-0.75</c:v>
                </c:pt>
                <c:pt idx="5">
                  <c:v>-0.81038649221226977</c:v>
                </c:pt>
                <c:pt idx="6">
                  <c:v>-0.75</c:v>
                </c:pt>
                <c:pt idx="7">
                  <c:v>-0.25</c:v>
                </c:pt>
                <c:pt idx="8">
                  <c:v>-0.25</c:v>
                </c:pt>
                <c:pt idx="9">
                  <c:v>-1.25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98-4764-8B95-18A4B83F48F3}"/>
            </c:ext>
          </c:extLst>
        </c:ser>
        <c:ser>
          <c:idx val="5"/>
          <c:order val="5"/>
          <c:tx>
            <c:strRef>
              <c:f>'Bolt in a Tapped Hole'!$O$43</c:f>
              <c:strCache>
                <c:ptCount val="1"/>
                <c:pt idx="0">
                  <c:v>Thread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'Bolt in a Tapped Hole'!$O$45:$O$55</c:f>
              <c:numCache>
                <c:formatCode>General</c:formatCode>
                <c:ptCount val="11"/>
                <c:pt idx="0">
                  <c:v>-0.125</c:v>
                </c:pt>
                <c:pt idx="1">
                  <c:v>-0.10050000000000001</c:v>
                </c:pt>
                <c:pt idx="2">
                  <c:v>-0.10050000000000001</c:v>
                </c:pt>
                <c:pt idx="3">
                  <c:v>-0.125</c:v>
                </c:pt>
                <c:pt idx="4">
                  <c:v>-0.125</c:v>
                </c:pt>
                <c:pt idx="6">
                  <c:v>0.10050000000000001</c:v>
                </c:pt>
                <c:pt idx="7">
                  <c:v>0.125</c:v>
                </c:pt>
                <c:pt idx="8">
                  <c:v>0.125</c:v>
                </c:pt>
                <c:pt idx="9">
                  <c:v>0.10050000000000001</c:v>
                </c:pt>
                <c:pt idx="10">
                  <c:v>0.10050000000000001</c:v>
                </c:pt>
              </c:numCache>
            </c:numRef>
          </c:xVal>
          <c:yVal>
            <c:numRef>
              <c:f>'Bolt in a Tapped Hole'!$P$45:$P$55</c:f>
              <c:numCache>
                <c:formatCode>General</c:formatCode>
                <c:ptCount val="11"/>
                <c:pt idx="0">
                  <c:v>-0.625</c:v>
                </c:pt>
                <c:pt idx="1">
                  <c:v>-0.625</c:v>
                </c:pt>
                <c:pt idx="2">
                  <c:v>-0.25</c:v>
                </c:pt>
                <c:pt idx="3">
                  <c:v>-0.25</c:v>
                </c:pt>
                <c:pt idx="4">
                  <c:v>-0.625</c:v>
                </c:pt>
                <c:pt idx="6">
                  <c:v>-0.625</c:v>
                </c:pt>
                <c:pt idx="7">
                  <c:v>-0.625</c:v>
                </c:pt>
                <c:pt idx="8">
                  <c:v>-0.25</c:v>
                </c:pt>
                <c:pt idx="9">
                  <c:v>-0.25</c:v>
                </c:pt>
                <c:pt idx="10">
                  <c:v>-0.625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398-4764-8B95-18A4B83F48F3}"/>
            </c:ext>
          </c:extLst>
        </c:ser>
        <c:ser>
          <c:idx val="7"/>
          <c:order val="7"/>
          <c:tx>
            <c:strRef>
              <c:f>'Bolt in a Tapped Hole'!$M$1</c:f>
              <c:strCache>
                <c:ptCount val="1"/>
                <c:pt idx="0">
                  <c:v>Bolt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'Bolt in a Tapped Hole'!$M$3:$M$11</c:f>
              <c:numCache>
                <c:formatCode>General</c:formatCode>
                <c:ptCount val="9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0.125</c:v>
                </c:pt>
                <c:pt idx="4">
                  <c:v>0.125</c:v>
                </c:pt>
                <c:pt idx="5">
                  <c:v>0.1875</c:v>
                </c:pt>
                <c:pt idx="6">
                  <c:v>0.1875</c:v>
                </c:pt>
                <c:pt idx="7">
                  <c:v>-0.1875</c:v>
                </c:pt>
                <c:pt idx="8">
                  <c:v>-0.1875</c:v>
                </c:pt>
              </c:numCache>
            </c:numRef>
          </c:xVal>
          <c:yVal>
            <c:numRef>
              <c:f>'Bolt in a Tapped Hole'!$N$3:$N$11</c:f>
              <c:numCache>
                <c:formatCode>General</c:formatCode>
                <c:ptCount val="9"/>
                <c:pt idx="0">
                  <c:v>0.05</c:v>
                </c:pt>
                <c:pt idx="1">
                  <c:v>0.05</c:v>
                </c:pt>
                <c:pt idx="2">
                  <c:v>-0.54999999999999993</c:v>
                </c:pt>
                <c:pt idx="3">
                  <c:v>-0.54999999999999993</c:v>
                </c:pt>
                <c:pt idx="4">
                  <c:v>0.05</c:v>
                </c:pt>
                <c:pt idx="5">
                  <c:v>0.05</c:v>
                </c:pt>
                <c:pt idx="6">
                  <c:v>0.42499999999999999</c:v>
                </c:pt>
                <c:pt idx="7">
                  <c:v>0.42499999999999999</c:v>
                </c:pt>
                <c:pt idx="8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398-4764-8B95-18A4B83F4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659904"/>
        <c:axId val="7176641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Washer Right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'Bolt in a Tapped Hole'!$M$23:$M$27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0.3125</c:v>
                      </c:pt>
                      <c:pt idx="1">
                        <c:v>0.14000000000000001</c:v>
                      </c:pt>
                      <c:pt idx="2">
                        <c:v>0.14000000000000001</c:v>
                      </c:pt>
                      <c:pt idx="3">
                        <c:v>0.3125</c:v>
                      </c:pt>
                      <c:pt idx="4">
                        <c:v>0.3125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'Bolt in a Tapped Hole'!$N$23:$N$27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0.05</c:v>
                      </c:pt>
                      <c:pt idx="3">
                        <c:v>0.05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6D80-4FF2-AA32-8E28F829200E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Hole'!$M$37:$M$41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0.375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0.375</c:v>
                      </c:pt>
                      <c:pt idx="4">
                        <c:v>0.375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Hole'!$N$37:$N$41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-0.25</c:v>
                      </c:pt>
                      <c:pt idx="1">
                        <c:v>-0.25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-0.25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F398-4764-8B95-18A4B83F48F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Hole'!$Q$37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Hole'!$O$51:$O$55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0.10050000000000001</c:v>
                      </c:pt>
                      <c:pt idx="1">
                        <c:v>0.125</c:v>
                      </c:pt>
                      <c:pt idx="2">
                        <c:v>0.125</c:v>
                      </c:pt>
                      <c:pt idx="3">
                        <c:v>0.10050000000000001</c:v>
                      </c:pt>
                      <c:pt idx="4">
                        <c:v>0.10050000000000001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'Bolt in a Tapped Hole'!$P$51:$P$55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-0.625</c:v>
                      </c:pt>
                      <c:pt idx="1">
                        <c:v>-0.625</c:v>
                      </c:pt>
                      <c:pt idx="2">
                        <c:v>-0.25</c:v>
                      </c:pt>
                      <c:pt idx="3">
                        <c:v>-0.25</c:v>
                      </c:pt>
                      <c:pt idx="4">
                        <c:v>-0.625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398-4764-8B95-18A4B83F48F3}"/>
                  </c:ext>
                </c:extLst>
              </c15:ser>
            </c15:filteredScatterSeries>
          </c:ext>
        </c:extLst>
      </c:scatterChart>
      <c:valAx>
        <c:axId val="71765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64168"/>
        <c:crosses val="autoZero"/>
        <c:crossBetween val="midCat"/>
      </c:valAx>
      <c:valAx>
        <c:axId val="717664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659904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Bolted Joint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Test Bolt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5"/>
              <c:pt idx="0">
                <c:v>-0.1875</c:v>
              </c:pt>
              <c:pt idx="1">
                <c:v>-0.125</c:v>
              </c:pt>
              <c:pt idx="2">
                <c:v>-0.125</c:v>
              </c:pt>
              <c:pt idx="3">
                <c:v>-0.125</c:v>
              </c:pt>
              <c:pt idx="4">
                <c:v>-0.125</c:v>
              </c:pt>
              <c:pt idx="5">
                <c:v>-0.10505</c:v>
              </c:pt>
              <c:pt idx="6">
                <c:v>0.10505</c:v>
              </c:pt>
              <c:pt idx="7">
                <c:v>0.125</c:v>
              </c:pt>
              <c:pt idx="8">
                <c:v>0.125</c:v>
              </c:pt>
              <c:pt idx="9">
                <c:v>0.125</c:v>
              </c:pt>
              <c:pt idx="10">
                <c:v>0.125</c:v>
              </c:pt>
              <c:pt idx="11">
                <c:v>0.1875</c:v>
              </c:pt>
              <c:pt idx="12">
                <c:v>0.1875</c:v>
              </c:pt>
              <c:pt idx="13">
                <c:v>-0.1875</c:v>
              </c:pt>
              <c:pt idx="14">
                <c:v>-0.1875</c:v>
              </c:pt>
            </c:numLit>
          </c:xVal>
          <c:y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-3.0000000000000027E-2</c:v>
              </c:pt>
              <c:pt idx="3">
                <c:v>-3.0000000000000027E-2</c:v>
              </c:pt>
              <c:pt idx="4">
                <c:v>-0.3392857142857143</c:v>
              </c:pt>
              <c:pt idx="5">
                <c:v>-0.375</c:v>
              </c:pt>
              <c:pt idx="6">
                <c:v>-0.375</c:v>
              </c:pt>
              <c:pt idx="7">
                <c:v>-0.3392857142857143</c:v>
              </c:pt>
              <c:pt idx="8">
                <c:v>-3.0000000000000027E-2</c:v>
              </c:pt>
              <c:pt idx="9">
                <c:v>-3.0000000000000027E-2</c:v>
              </c:pt>
              <c:pt idx="10">
                <c:v>0</c:v>
              </c:pt>
              <c:pt idx="11">
                <c:v>0</c:v>
              </c:pt>
              <c:pt idx="12">
                <c:v>0.25</c:v>
              </c:pt>
              <c:pt idx="13">
                <c:v>0.25</c:v>
              </c:pt>
              <c:pt idx="14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BB6-4CB9-8A5F-98A81DD90EF3}"/>
            </c:ext>
          </c:extLst>
        </c:ser>
        <c:ser>
          <c:idx val="1"/>
          <c:order val="1"/>
          <c:tx>
            <c:v>Test Bolt Left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-0.10505</c:v>
              </c:pt>
              <c:pt idx="1">
                <c:v>-0.10505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A66-4788-88D3-8B737B0B4494}"/>
            </c:ext>
          </c:extLst>
        </c:ser>
        <c:ser>
          <c:idx val="2"/>
          <c:order val="2"/>
          <c:tx>
            <c:v>Test Bolt Right Thread</c:v>
          </c:tx>
          <c:spPr>
            <a:ln w="2857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0.10505</c:v>
              </c:pt>
              <c:pt idx="1">
                <c:v>0.10505</c:v>
              </c:pt>
            </c:numLit>
          </c:xVal>
          <c:yVal>
            <c:numLit>
              <c:formatCode>General</c:formatCode>
              <c:ptCount val="2"/>
              <c:pt idx="0">
                <c:v>-3.0000000000000027E-2</c:v>
              </c:pt>
              <c:pt idx="1">
                <c:v>-0.375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A66-4788-88D3-8B737B0B4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429296"/>
        <c:axId val="751430280"/>
      </c:scatterChart>
      <c:valAx>
        <c:axId val="7514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0280"/>
        <c:crosses val="autoZero"/>
        <c:crossBetween val="midCat"/>
      </c:valAx>
      <c:valAx>
        <c:axId val="75143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2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Bolt Test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Bolt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'Manual Bolt Geometry'!$A$68:$A$82</c:f>
              <c:numCache>
                <c:formatCode>General</c:formatCode>
                <c:ptCount val="15"/>
                <c:pt idx="0">
                  <c:v>-0.1875</c:v>
                </c:pt>
                <c:pt idx="1">
                  <c:v>-0.125</c:v>
                </c:pt>
                <c:pt idx="2">
                  <c:v>-0.125</c:v>
                </c:pt>
                <c:pt idx="3">
                  <c:v>-0.125</c:v>
                </c:pt>
                <c:pt idx="4">
                  <c:v>-0.125</c:v>
                </c:pt>
                <c:pt idx="5">
                  <c:v>-0.10505</c:v>
                </c:pt>
                <c:pt idx="6">
                  <c:v>0.10505</c:v>
                </c:pt>
                <c:pt idx="7">
                  <c:v>0.125</c:v>
                </c:pt>
                <c:pt idx="8">
                  <c:v>0.125</c:v>
                </c:pt>
                <c:pt idx="9">
                  <c:v>0.125</c:v>
                </c:pt>
                <c:pt idx="10">
                  <c:v>0.125</c:v>
                </c:pt>
                <c:pt idx="11">
                  <c:v>0.1875</c:v>
                </c:pt>
                <c:pt idx="12">
                  <c:v>0.1875</c:v>
                </c:pt>
                <c:pt idx="13">
                  <c:v>-0.1875</c:v>
                </c:pt>
                <c:pt idx="14">
                  <c:v>-0.1875</c:v>
                </c:pt>
              </c:numCache>
            </c:numRef>
          </c:xVal>
          <c:yVal>
            <c:numRef>
              <c:f>'Manual Bolt Geometry'!$B$68:$B$82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-3.0000000000000027E-2</c:v>
                </c:pt>
                <c:pt idx="3">
                  <c:v>-3.0000000000000027E-2</c:v>
                </c:pt>
                <c:pt idx="4">
                  <c:v>-0.3392857142857143</c:v>
                </c:pt>
                <c:pt idx="5">
                  <c:v>-0.375</c:v>
                </c:pt>
                <c:pt idx="6">
                  <c:v>-0.375</c:v>
                </c:pt>
                <c:pt idx="7">
                  <c:v>-0.3392857142857143</c:v>
                </c:pt>
                <c:pt idx="8">
                  <c:v>-3.0000000000000027E-2</c:v>
                </c:pt>
                <c:pt idx="9">
                  <c:v>-3.0000000000000027E-2</c:v>
                </c:pt>
                <c:pt idx="10">
                  <c:v>0</c:v>
                </c:pt>
                <c:pt idx="11">
                  <c:v>0</c:v>
                </c:pt>
                <c:pt idx="12">
                  <c:v>0.25</c:v>
                </c:pt>
                <c:pt idx="13">
                  <c:v>0.25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D7-4F2A-8D14-4F4B483C0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1435528"/>
        <c:axId val="751430608"/>
      </c:scatterChart>
      <c:valAx>
        <c:axId val="751435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0608"/>
        <c:crosses val="autoZero"/>
        <c:crossBetween val="midCat"/>
      </c:valAx>
      <c:valAx>
        <c:axId val="75143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35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72626</xdr:colOff>
      <xdr:row>2</xdr:row>
      <xdr:rowOff>89295</xdr:rowOff>
    </xdr:from>
    <xdr:to>
      <xdr:col>26</xdr:col>
      <xdr:colOff>101201</xdr:colOff>
      <xdr:row>40</xdr:row>
      <xdr:rowOff>165495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12F15D0-7AA3-44E8-B480-B51E35292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69273</xdr:colOff>
      <xdr:row>84</xdr:row>
      <xdr:rowOff>122958</xdr:rowOff>
    </xdr:from>
    <xdr:to>
      <xdr:col>5</xdr:col>
      <xdr:colOff>1017443</xdr:colOff>
      <xdr:row>99</xdr:row>
      <xdr:rowOff>8658</xdr:rowOff>
    </xdr:to>
    <xdr:graphicFrame macro="">
      <xdr:nvGraphicFramePr>
        <xdr:cNvPr id="10" name="Bolted Joint Test Chart">
          <a:extLst>
            <a:ext uri="{FF2B5EF4-FFF2-40B4-BE49-F238E27FC236}">
              <a16:creationId xmlns:a16="http://schemas.microsoft.com/office/drawing/2014/main" id="{7F6814DC-F9FA-4076-8E65-C1BCDCC0EE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138545</xdr:colOff>
      <xdr:row>62</xdr:row>
      <xdr:rowOff>53686</xdr:rowOff>
    </xdr:from>
    <xdr:to>
      <xdr:col>5</xdr:col>
      <xdr:colOff>1086715</xdr:colOff>
      <xdr:row>76</xdr:row>
      <xdr:rowOff>129886</xdr:rowOff>
    </xdr:to>
    <xdr:graphicFrame macro="">
      <xdr:nvGraphicFramePr>
        <xdr:cNvPr id="11" name="Bolt Test Chart">
          <a:extLst>
            <a:ext uri="{FF2B5EF4-FFF2-40B4-BE49-F238E27FC236}">
              <a16:creationId xmlns:a16="http://schemas.microsoft.com/office/drawing/2014/main" id="{E85E4530-9B2A-44C2-AA1C-8BFF15203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29D5-A887-4156-88D4-A44B692FF2E8}">
  <sheetPr codeName="Sheet1"/>
  <dimension ref="A1:P55"/>
  <sheetViews>
    <sheetView topLeftCell="A8" zoomScaleNormal="100" workbookViewId="0">
      <selection activeCell="B11" sqref="B11"/>
    </sheetView>
  </sheetViews>
  <sheetFormatPr defaultRowHeight="15" x14ac:dyDescent="0.25"/>
  <cols>
    <col min="1" max="1" width="32" bestFit="1" customWidth="1"/>
    <col min="2" max="2" width="18.140625" bestFit="1" customWidth="1"/>
    <col min="3" max="6" width="18.140625" customWidth="1"/>
    <col min="7" max="7" width="10.28515625" bestFit="1" customWidth="1"/>
    <col min="10" max="10" width="14.42578125" customWidth="1"/>
    <col min="11" max="11" width="28.85546875" bestFit="1" customWidth="1"/>
    <col min="12" max="12" width="12" bestFit="1" customWidth="1"/>
    <col min="13" max="13" width="14.5703125" bestFit="1" customWidth="1"/>
    <col min="14" max="14" width="15.140625" customWidth="1"/>
    <col min="15" max="15" width="12.7109375" bestFit="1" customWidth="1"/>
    <col min="16" max="16" width="12" bestFit="1" customWidth="1"/>
    <col min="17" max="17" width="12.140625" bestFit="1" customWidth="1"/>
    <col min="18" max="18" width="12" bestFit="1" customWidth="1"/>
  </cols>
  <sheetData>
    <row r="1" spans="1:14" x14ac:dyDescent="0.25">
      <c r="A1" s="1" t="s">
        <v>8</v>
      </c>
      <c r="B1" s="1"/>
      <c r="C1" s="1"/>
      <c r="D1" s="1"/>
      <c r="E1" s="1"/>
      <c r="F1" s="1"/>
      <c r="G1" s="1"/>
      <c r="K1" t="s">
        <v>47</v>
      </c>
      <c r="L1">
        <f>L43</f>
        <v>0</v>
      </c>
      <c r="M1" t="s">
        <v>50</v>
      </c>
    </row>
    <row r="2" spans="1:14" x14ac:dyDescent="0.25">
      <c r="A2" t="s">
        <v>0</v>
      </c>
      <c r="B2" t="s">
        <v>7</v>
      </c>
      <c r="C2" t="s">
        <v>31</v>
      </c>
      <c r="D2" t="s">
        <v>30</v>
      </c>
      <c r="E2" t="s">
        <v>33</v>
      </c>
      <c r="F2" t="s">
        <v>32</v>
      </c>
      <c r="G2" t="s">
        <v>1</v>
      </c>
      <c r="K2" t="s">
        <v>49</v>
      </c>
      <c r="L2">
        <v>0.05</v>
      </c>
      <c r="M2" t="s">
        <v>34</v>
      </c>
      <c r="N2" t="s">
        <v>35</v>
      </c>
    </row>
    <row r="3" spans="1:14" x14ac:dyDescent="0.25">
      <c r="A3" t="s">
        <v>27</v>
      </c>
      <c r="B3">
        <v>0.25</v>
      </c>
      <c r="C3">
        <v>0.01</v>
      </c>
      <c r="D3">
        <v>0.01</v>
      </c>
      <c r="E3">
        <f>B3+C3</f>
        <v>0.26</v>
      </c>
      <c r="F3">
        <f>B3-D3</f>
        <v>0.24</v>
      </c>
      <c r="G3" t="s">
        <v>2</v>
      </c>
      <c r="I3" t="e" cm="1">
        <f t="array" aca="1" ref="I3" ca="1">SocketHeadCapScrewGeometry(B3:D3)</f>
        <v>#NAME?</v>
      </c>
      <c r="M3">
        <f>-B7/2+L1</f>
        <v>-0.1875</v>
      </c>
      <c r="N3">
        <f>L2</f>
        <v>0.05</v>
      </c>
    </row>
    <row r="4" spans="1:14" x14ac:dyDescent="0.25">
      <c r="A4" t="s">
        <v>3</v>
      </c>
      <c r="B4">
        <v>20</v>
      </c>
      <c r="G4" t="s">
        <v>4</v>
      </c>
      <c r="M4">
        <f>-B3/2+L1</f>
        <v>-0.125</v>
      </c>
      <c r="N4">
        <f>N3</f>
        <v>0.05</v>
      </c>
    </row>
    <row r="5" spans="1:14" x14ac:dyDescent="0.25">
      <c r="A5" t="s">
        <v>5</v>
      </c>
      <c r="B5">
        <v>0.6</v>
      </c>
      <c r="C5">
        <v>0.01</v>
      </c>
      <c r="D5">
        <v>0.01</v>
      </c>
      <c r="E5">
        <f>B5+C5</f>
        <v>0.61</v>
      </c>
      <c r="F5">
        <f>B5-D5</f>
        <v>0.59</v>
      </c>
      <c r="G5" t="s">
        <v>2</v>
      </c>
      <c r="M5">
        <f>M4</f>
        <v>-0.125</v>
      </c>
      <c r="N5">
        <f>N4-B5</f>
        <v>-0.54999999999999993</v>
      </c>
    </row>
    <row r="6" spans="1:14" x14ac:dyDescent="0.25">
      <c r="A6" t="s">
        <v>6</v>
      </c>
      <c r="B6">
        <v>1</v>
      </c>
      <c r="C6">
        <v>0.01</v>
      </c>
      <c r="D6">
        <v>0.01</v>
      </c>
      <c r="E6">
        <f>B6+C6</f>
        <v>1.01</v>
      </c>
      <c r="F6">
        <f>B6-D6</f>
        <v>0.99</v>
      </c>
      <c r="G6" t="s">
        <v>2</v>
      </c>
      <c r="M6">
        <f>B3/2+L1</f>
        <v>0.125</v>
      </c>
      <c r="N6">
        <f>N5</f>
        <v>-0.54999999999999993</v>
      </c>
    </row>
    <row r="7" spans="1:14" x14ac:dyDescent="0.25">
      <c r="A7" t="s">
        <v>9</v>
      </c>
      <c r="B7">
        <v>0.375</v>
      </c>
      <c r="C7">
        <v>0.01</v>
      </c>
      <c r="D7">
        <v>0.01</v>
      </c>
      <c r="E7">
        <f>B7+C7</f>
        <v>0.38500000000000001</v>
      </c>
      <c r="F7">
        <f>B7-D7</f>
        <v>0.36499999999999999</v>
      </c>
      <c r="G7" t="s">
        <v>2</v>
      </c>
      <c r="M7">
        <f>M6</f>
        <v>0.125</v>
      </c>
      <c r="N7">
        <f>N4</f>
        <v>0.05</v>
      </c>
    </row>
    <row r="8" spans="1:14" x14ac:dyDescent="0.25">
      <c r="A8" t="s">
        <v>10</v>
      </c>
      <c r="B8">
        <v>0.375</v>
      </c>
      <c r="C8">
        <v>0.01</v>
      </c>
      <c r="D8">
        <v>0.01</v>
      </c>
      <c r="E8">
        <f>B8+C8</f>
        <v>0.38500000000000001</v>
      </c>
      <c r="F8">
        <f>B8-D8</f>
        <v>0.36499999999999999</v>
      </c>
      <c r="G8" t="s">
        <v>2</v>
      </c>
      <c r="M8">
        <f>B7/2+L1</f>
        <v>0.1875</v>
      </c>
      <c r="N8">
        <f>N3</f>
        <v>0.05</v>
      </c>
    </row>
    <row r="9" spans="1:14" x14ac:dyDescent="0.25">
      <c r="M9">
        <f>M8</f>
        <v>0.1875</v>
      </c>
      <c r="N9">
        <f>N8+B8</f>
        <v>0.42499999999999999</v>
      </c>
    </row>
    <row r="10" spans="1:14" x14ac:dyDescent="0.25">
      <c r="A10" t="s">
        <v>15</v>
      </c>
      <c r="B10" t="s">
        <v>12</v>
      </c>
      <c r="M10">
        <f>M3</f>
        <v>-0.1875</v>
      </c>
      <c r="N10">
        <f>N9</f>
        <v>0.42499999999999999</v>
      </c>
    </row>
    <row r="11" spans="1:14" x14ac:dyDescent="0.25">
      <c r="A11" t="s">
        <v>0</v>
      </c>
      <c r="B11" t="s">
        <v>7</v>
      </c>
      <c r="G11" t="s">
        <v>1</v>
      </c>
      <c r="M11">
        <f>M10</f>
        <v>-0.1875</v>
      </c>
      <c r="N11">
        <f>N3</f>
        <v>0.05</v>
      </c>
    </row>
    <row r="12" spans="1:14" x14ac:dyDescent="0.25">
      <c r="A12" t="s">
        <v>11</v>
      </c>
      <c r="B12" t="s">
        <v>22</v>
      </c>
      <c r="G12" t="s">
        <v>14</v>
      </c>
    </row>
    <row r="13" spans="1:14" x14ac:dyDescent="0.25">
      <c r="A13" t="s">
        <v>21</v>
      </c>
      <c r="G13" t="s">
        <v>14</v>
      </c>
    </row>
    <row r="14" spans="1:14" x14ac:dyDescent="0.25">
      <c r="A14" t="s">
        <v>13</v>
      </c>
      <c r="B14">
        <v>0.05</v>
      </c>
      <c r="C14">
        <v>0.01</v>
      </c>
      <c r="D14">
        <v>0.01</v>
      </c>
      <c r="E14">
        <f>B14+C14</f>
        <v>6.0000000000000005E-2</v>
      </c>
      <c r="F14">
        <f>B14-D14</f>
        <v>0.04</v>
      </c>
      <c r="G14" t="s">
        <v>2</v>
      </c>
    </row>
    <row r="15" spans="1:14" x14ac:dyDescent="0.25">
      <c r="A15" t="s">
        <v>16</v>
      </c>
      <c r="B15">
        <v>0.28000000000000003</v>
      </c>
      <c r="C15">
        <v>0.01</v>
      </c>
      <c r="D15">
        <v>0.01</v>
      </c>
      <c r="E15">
        <f>B15+C15</f>
        <v>0.29000000000000004</v>
      </c>
      <c r="F15">
        <f>B15-D15</f>
        <v>0.27</v>
      </c>
      <c r="G15" t="s">
        <v>2</v>
      </c>
      <c r="K15" t="s">
        <v>38</v>
      </c>
      <c r="L15">
        <v>0</v>
      </c>
      <c r="M15" t="s">
        <v>36</v>
      </c>
    </row>
    <row r="16" spans="1:14" x14ac:dyDescent="0.25">
      <c r="A16" t="s">
        <v>20</v>
      </c>
      <c r="B16">
        <v>0.625</v>
      </c>
      <c r="C16">
        <v>0.01</v>
      </c>
      <c r="D16">
        <v>0.01</v>
      </c>
      <c r="E16">
        <f>B16+C16</f>
        <v>0.63500000000000001</v>
      </c>
      <c r="F16">
        <f>B16-D16</f>
        <v>0.61499999999999999</v>
      </c>
      <c r="G16" t="s">
        <v>2</v>
      </c>
      <c r="K16" t="s">
        <v>48</v>
      </c>
      <c r="L16">
        <v>0.05</v>
      </c>
      <c r="M16" t="s">
        <v>34</v>
      </c>
      <c r="N16" t="s">
        <v>35</v>
      </c>
    </row>
    <row r="17" spans="1:14" x14ac:dyDescent="0.25">
      <c r="M17">
        <f>L15-B16/2</f>
        <v>-0.3125</v>
      </c>
      <c r="N17">
        <f>L16-B14</f>
        <v>0</v>
      </c>
    </row>
    <row r="18" spans="1:14" x14ac:dyDescent="0.25">
      <c r="A18" t="s">
        <v>17</v>
      </c>
      <c r="M18">
        <f>L15-B15/2</f>
        <v>-0.14000000000000001</v>
      </c>
      <c r="N18">
        <f>N17</f>
        <v>0</v>
      </c>
    </row>
    <row r="19" spans="1:14" x14ac:dyDescent="0.25">
      <c r="A19" t="s">
        <v>0</v>
      </c>
      <c r="B19" t="s">
        <v>7</v>
      </c>
      <c r="G19" t="s">
        <v>1</v>
      </c>
      <c r="M19">
        <f>M18</f>
        <v>-0.14000000000000001</v>
      </c>
      <c r="N19">
        <f>L16</f>
        <v>0.05</v>
      </c>
    </row>
    <row r="20" spans="1:14" x14ac:dyDescent="0.25">
      <c r="A20" t="s">
        <v>11</v>
      </c>
      <c r="B20" t="s">
        <v>18</v>
      </c>
      <c r="G20" t="s">
        <v>14</v>
      </c>
      <c r="M20">
        <f>M17</f>
        <v>-0.3125</v>
      </c>
      <c r="N20">
        <f>L16</f>
        <v>0.05</v>
      </c>
    </row>
    <row r="21" spans="1:14" x14ac:dyDescent="0.25">
      <c r="A21" t="s">
        <v>21</v>
      </c>
      <c r="B21" t="s">
        <v>23</v>
      </c>
      <c r="G21" t="s">
        <v>14</v>
      </c>
      <c r="M21">
        <f>M17</f>
        <v>-0.3125</v>
      </c>
      <c r="N21">
        <f>N17</f>
        <v>0</v>
      </c>
    </row>
    <row r="22" spans="1:14" x14ac:dyDescent="0.25">
      <c r="A22" t="s">
        <v>13</v>
      </c>
      <c r="B22">
        <v>0.25</v>
      </c>
      <c r="C22">
        <v>0.01</v>
      </c>
      <c r="D22">
        <v>0.01</v>
      </c>
      <c r="E22">
        <f>B22+C22</f>
        <v>0.26</v>
      </c>
      <c r="F22">
        <f>B22-D22</f>
        <v>0.24</v>
      </c>
      <c r="G22" t="s">
        <v>2</v>
      </c>
    </row>
    <row r="23" spans="1:14" x14ac:dyDescent="0.25">
      <c r="A23" t="s">
        <v>16</v>
      </c>
      <c r="B23">
        <v>0.4</v>
      </c>
      <c r="C23">
        <v>0.01</v>
      </c>
      <c r="D23">
        <v>0.01</v>
      </c>
      <c r="E23">
        <f>B23+C23</f>
        <v>0.41000000000000003</v>
      </c>
      <c r="F23">
        <f>B23-D23</f>
        <v>0.39</v>
      </c>
      <c r="G23" t="s">
        <v>2</v>
      </c>
      <c r="M23">
        <f>B16/2+L15</f>
        <v>0.3125</v>
      </c>
      <c r="N23">
        <f>N17</f>
        <v>0</v>
      </c>
    </row>
    <row r="24" spans="1:14" x14ac:dyDescent="0.25">
      <c r="A24" t="s">
        <v>19</v>
      </c>
      <c r="B24">
        <v>0.375</v>
      </c>
      <c r="C24">
        <v>0.01</v>
      </c>
      <c r="D24">
        <v>0.01</v>
      </c>
      <c r="E24">
        <f>B24+C24</f>
        <v>0.38500000000000001</v>
      </c>
      <c r="F24">
        <f>B24-D24</f>
        <v>0.36499999999999999</v>
      </c>
      <c r="G24" t="s">
        <v>2</v>
      </c>
      <c r="M24">
        <f>L15+B15/2</f>
        <v>0.14000000000000001</v>
      </c>
      <c r="N24">
        <f>N18</f>
        <v>0</v>
      </c>
    </row>
    <row r="25" spans="1:14" x14ac:dyDescent="0.25">
      <c r="M25">
        <f>M24</f>
        <v>0.14000000000000001</v>
      </c>
      <c r="N25">
        <f>N19</f>
        <v>0.05</v>
      </c>
    </row>
    <row r="26" spans="1:14" x14ac:dyDescent="0.25">
      <c r="A26" t="s">
        <v>29</v>
      </c>
      <c r="M26">
        <f>M23</f>
        <v>0.3125</v>
      </c>
      <c r="N26">
        <f>N20</f>
        <v>0.05</v>
      </c>
    </row>
    <row r="27" spans="1:14" x14ac:dyDescent="0.25">
      <c r="A27" t="s">
        <v>0</v>
      </c>
      <c r="B27" t="s">
        <v>7</v>
      </c>
      <c r="G27" t="s">
        <v>1</v>
      </c>
      <c r="M27">
        <f>M23</f>
        <v>0.3125</v>
      </c>
      <c r="N27">
        <f>N21</f>
        <v>0</v>
      </c>
    </row>
    <row r="28" spans="1:14" x14ac:dyDescent="0.25">
      <c r="A28" t="s">
        <v>11</v>
      </c>
      <c r="B28" t="s">
        <v>25</v>
      </c>
      <c r="G28" t="s">
        <v>14</v>
      </c>
    </row>
    <row r="29" spans="1:14" x14ac:dyDescent="0.25">
      <c r="A29" t="s">
        <v>21</v>
      </c>
      <c r="B29" t="s">
        <v>24</v>
      </c>
      <c r="G29" t="s">
        <v>14</v>
      </c>
      <c r="K29" t="s">
        <v>39</v>
      </c>
      <c r="L29">
        <v>0</v>
      </c>
      <c r="M29" t="s">
        <v>37</v>
      </c>
    </row>
    <row r="30" spans="1:14" x14ac:dyDescent="0.25">
      <c r="A30" t="s">
        <v>13</v>
      </c>
      <c r="B30">
        <v>1</v>
      </c>
      <c r="C30">
        <v>0.01</v>
      </c>
      <c r="D30">
        <v>0.01</v>
      </c>
      <c r="E30">
        <f>B30+C30</f>
        <v>1.01</v>
      </c>
      <c r="F30">
        <f>B30-D30</f>
        <v>0.99</v>
      </c>
      <c r="G30" t="s">
        <v>2</v>
      </c>
      <c r="K30" t="s">
        <v>40</v>
      </c>
      <c r="L30">
        <v>0</v>
      </c>
      <c r="M30" t="s">
        <v>34</v>
      </c>
      <c r="N30" t="s">
        <v>35</v>
      </c>
    </row>
    <row r="31" spans="1:14" x14ac:dyDescent="0.25">
      <c r="A31" t="s">
        <v>26</v>
      </c>
      <c r="B31">
        <v>0.25</v>
      </c>
      <c r="C31">
        <v>0.01</v>
      </c>
      <c r="D31">
        <v>0.01</v>
      </c>
      <c r="E31">
        <f>B31+C31</f>
        <v>0.26</v>
      </c>
      <c r="F31">
        <f>B31-D31</f>
        <v>0.24</v>
      </c>
      <c r="G31" t="s">
        <v>2</v>
      </c>
      <c r="M31">
        <f>-B24</f>
        <v>-0.375</v>
      </c>
      <c r="N31">
        <f>L30-B22</f>
        <v>-0.25</v>
      </c>
    </row>
    <row r="32" spans="1:14" x14ac:dyDescent="0.25">
      <c r="A32" t="s">
        <v>3</v>
      </c>
      <c r="B32">
        <v>20</v>
      </c>
      <c r="G32" t="s">
        <v>28</v>
      </c>
      <c r="M32">
        <f>-B23/2+L29</f>
        <v>-0.2</v>
      </c>
      <c r="N32">
        <f>N31</f>
        <v>-0.25</v>
      </c>
    </row>
    <row r="33" spans="1:16" x14ac:dyDescent="0.25">
      <c r="A33" t="s">
        <v>19</v>
      </c>
      <c r="B33">
        <v>0.375</v>
      </c>
      <c r="C33">
        <v>0.01</v>
      </c>
      <c r="D33">
        <v>0.01</v>
      </c>
      <c r="E33">
        <f>B33+C33</f>
        <v>0.38500000000000001</v>
      </c>
      <c r="F33">
        <f>B33-D33</f>
        <v>0.36499999999999999</v>
      </c>
      <c r="G33" t="s">
        <v>2</v>
      </c>
      <c r="M33">
        <f>M32</f>
        <v>-0.2</v>
      </c>
      <c r="N33">
        <f>L30</f>
        <v>0</v>
      </c>
    </row>
    <row r="34" spans="1:16" x14ac:dyDescent="0.25">
      <c r="A34" t="s">
        <v>44</v>
      </c>
      <c r="B34">
        <v>0.20100000000000001</v>
      </c>
      <c r="M34">
        <f>M31</f>
        <v>-0.375</v>
      </c>
      <c r="N34">
        <f>N33</f>
        <v>0</v>
      </c>
    </row>
    <row r="35" spans="1:16" x14ac:dyDescent="0.25">
      <c r="A35" t="s">
        <v>42</v>
      </c>
      <c r="B35">
        <v>0.5</v>
      </c>
      <c r="M35">
        <f>M31</f>
        <v>-0.375</v>
      </c>
      <c r="N35">
        <f>N31</f>
        <v>-0.25</v>
      </c>
    </row>
    <row r="36" spans="1:16" x14ac:dyDescent="0.25">
      <c r="A36" t="s">
        <v>43</v>
      </c>
      <c r="B36">
        <v>0.375</v>
      </c>
    </row>
    <row r="37" spans="1:16" x14ac:dyDescent="0.25">
      <c r="A37" t="s">
        <v>41</v>
      </c>
      <c r="B37">
        <v>118</v>
      </c>
      <c r="D37">
        <f>RADIANS(B37)</f>
        <v>2.0594885173533091</v>
      </c>
      <c r="M37">
        <f>B24</f>
        <v>0.375</v>
      </c>
      <c r="N37">
        <f>N31</f>
        <v>-0.25</v>
      </c>
    </row>
    <row r="38" spans="1:16" x14ac:dyDescent="0.25">
      <c r="M38">
        <f>B23/2+L29</f>
        <v>0.2</v>
      </c>
      <c r="N38">
        <f>N32</f>
        <v>-0.25</v>
      </c>
    </row>
    <row r="39" spans="1:16" x14ac:dyDescent="0.25">
      <c r="M39">
        <f>M38</f>
        <v>0.2</v>
      </c>
      <c r="N39">
        <f>N33</f>
        <v>0</v>
      </c>
    </row>
    <row r="40" spans="1:16" x14ac:dyDescent="0.25">
      <c r="M40">
        <f>M37</f>
        <v>0.375</v>
      </c>
      <c r="N40">
        <f>N34</f>
        <v>0</v>
      </c>
    </row>
    <row r="41" spans="1:16" x14ac:dyDescent="0.25">
      <c r="M41">
        <f>M37</f>
        <v>0.375</v>
      </c>
      <c r="N41">
        <f>N35</f>
        <v>-0.25</v>
      </c>
    </row>
    <row r="43" spans="1:16" x14ac:dyDescent="0.25">
      <c r="K43" t="s">
        <v>39</v>
      </c>
      <c r="L43">
        <v>0</v>
      </c>
      <c r="M43" t="s">
        <v>24</v>
      </c>
      <c r="O43" t="s">
        <v>46</v>
      </c>
    </row>
    <row r="44" spans="1:16" x14ac:dyDescent="0.25">
      <c r="K44" t="s">
        <v>40</v>
      </c>
      <c r="L44">
        <f>N35</f>
        <v>-0.25</v>
      </c>
      <c r="M44" t="s">
        <v>34</v>
      </c>
      <c r="N44" t="s">
        <v>35</v>
      </c>
      <c r="O44" t="s">
        <v>34</v>
      </c>
      <c r="P44" t="s">
        <v>35</v>
      </c>
    </row>
    <row r="45" spans="1:16" x14ac:dyDescent="0.25">
      <c r="K45" t="s">
        <v>45</v>
      </c>
      <c r="L45">
        <f>B34/2/TAN(D37/2)</f>
        <v>6.0386492212269813E-2</v>
      </c>
      <c r="M45">
        <f>-B33</f>
        <v>-0.375</v>
      </c>
      <c r="N45">
        <f>L44-B30</f>
        <v>-1.25</v>
      </c>
      <c r="O45">
        <f>-B31/2+L43</f>
        <v>-0.125</v>
      </c>
      <c r="P45">
        <f>L44-B36</f>
        <v>-0.625</v>
      </c>
    </row>
    <row r="46" spans="1:16" x14ac:dyDescent="0.25">
      <c r="M46">
        <f>B33</f>
        <v>0.375</v>
      </c>
      <c r="N46">
        <f>N45</f>
        <v>-1.25</v>
      </c>
      <c r="O46">
        <f>M51</f>
        <v>-0.10050000000000001</v>
      </c>
      <c r="P46">
        <f>P45</f>
        <v>-0.625</v>
      </c>
    </row>
    <row r="47" spans="1:16" x14ac:dyDescent="0.25">
      <c r="M47">
        <f>M46</f>
        <v>0.375</v>
      </c>
      <c r="N47">
        <f>L44</f>
        <v>-0.25</v>
      </c>
      <c r="O47">
        <f>O46</f>
        <v>-0.10050000000000001</v>
      </c>
      <c r="P47">
        <f>L44</f>
        <v>-0.25</v>
      </c>
    </row>
    <row r="48" spans="1:16" x14ac:dyDescent="0.25">
      <c r="M48">
        <f>B34/2+L43</f>
        <v>0.10050000000000001</v>
      </c>
      <c r="N48">
        <f>N47</f>
        <v>-0.25</v>
      </c>
      <c r="O48">
        <f>O45</f>
        <v>-0.125</v>
      </c>
      <c r="P48">
        <f>P47</f>
        <v>-0.25</v>
      </c>
    </row>
    <row r="49" spans="13:16" x14ac:dyDescent="0.25">
      <c r="M49">
        <f>M48</f>
        <v>0.10050000000000001</v>
      </c>
      <c r="N49">
        <f>N48-B35</f>
        <v>-0.75</v>
      </c>
      <c r="O49">
        <f>O45</f>
        <v>-0.125</v>
      </c>
      <c r="P49">
        <f>P45</f>
        <v>-0.625</v>
      </c>
    </row>
    <row r="50" spans="13:16" x14ac:dyDescent="0.25">
      <c r="M50">
        <f>L43</f>
        <v>0</v>
      </c>
      <c r="N50">
        <f>N49-L45</f>
        <v>-0.81038649221226977</v>
      </c>
    </row>
    <row r="51" spans="13:16" x14ac:dyDescent="0.25">
      <c r="M51">
        <f>-B34/2+L43</f>
        <v>-0.10050000000000001</v>
      </c>
      <c r="N51">
        <f>N49</f>
        <v>-0.75</v>
      </c>
      <c r="O51">
        <f>M48</f>
        <v>0.10050000000000001</v>
      </c>
      <c r="P51">
        <f>P45</f>
        <v>-0.625</v>
      </c>
    </row>
    <row r="52" spans="13:16" x14ac:dyDescent="0.25">
      <c r="M52">
        <f>M51</f>
        <v>-0.10050000000000001</v>
      </c>
      <c r="N52">
        <f>N48</f>
        <v>-0.25</v>
      </c>
      <c r="O52">
        <f>B31/2+L43</f>
        <v>0.125</v>
      </c>
      <c r="P52">
        <f>P51</f>
        <v>-0.625</v>
      </c>
    </row>
    <row r="53" spans="13:16" x14ac:dyDescent="0.25">
      <c r="M53">
        <f>M45</f>
        <v>-0.375</v>
      </c>
      <c r="N53">
        <f>N47</f>
        <v>-0.25</v>
      </c>
      <c r="O53">
        <f>O52</f>
        <v>0.125</v>
      </c>
      <c r="P53">
        <f>L44</f>
        <v>-0.25</v>
      </c>
    </row>
    <row r="54" spans="13:16" x14ac:dyDescent="0.25">
      <c r="M54">
        <f>M45</f>
        <v>-0.375</v>
      </c>
      <c r="N54">
        <f>N45</f>
        <v>-1.25</v>
      </c>
      <c r="O54">
        <f>O51</f>
        <v>0.10050000000000001</v>
      </c>
      <c r="P54">
        <f>P53</f>
        <v>-0.25</v>
      </c>
    </row>
    <row r="55" spans="13:16" x14ac:dyDescent="0.25">
      <c r="O55">
        <f>O51</f>
        <v>0.10050000000000001</v>
      </c>
      <c r="P55">
        <f>P51</f>
        <v>-0.625</v>
      </c>
    </row>
  </sheetData>
  <pageMargins left="0.7" right="0.7" top="0.75" bottom="0.75" header="0.3" footer="0.3"/>
  <pageSetup paperSize="14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D134C-D83B-4D00-B126-930706A5CF98}">
  <sheetPr codeName="Sheet3"/>
  <dimension ref="A1:H90"/>
  <sheetViews>
    <sheetView tabSelected="1" topLeftCell="A70" zoomScale="55" zoomScaleNormal="55" workbookViewId="0">
      <selection activeCell="D78" sqref="D78"/>
    </sheetView>
  </sheetViews>
  <sheetFormatPr defaultRowHeight="15" x14ac:dyDescent="0.25"/>
  <cols>
    <col min="1" max="1" width="47.5703125" bestFit="1" customWidth="1"/>
    <col min="2" max="2" width="29.28515625" bestFit="1" customWidth="1"/>
    <col min="3" max="3" width="38.28515625" bestFit="1" customWidth="1"/>
    <col min="4" max="4" width="27.28515625" bestFit="1" customWidth="1"/>
    <col min="5" max="5" width="27" bestFit="1" customWidth="1"/>
    <col min="6" max="6" width="35.140625" bestFit="1" customWidth="1"/>
    <col min="7" max="7" width="26.5703125" bestFit="1" customWidth="1"/>
    <col min="8" max="8" width="26.28515625" bestFit="1" customWidth="1"/>
    <col min="9" max="9" width="31.7109375" bestFit="1" customWidth="1"/>
    <col min="10" max="10" width="41.7109375" bestFit="1" customWidth="1"/>
  </cols>
  <sheetData>
    <row r="1" spans="1:4" x14ac:dyDescent="0.25">
      <c r="A1" t="s">
        <v>175</v>
      </c>
      <c r="B1" t="s">
        <v>176</v>
      </c>
    </row>
    <row r="2" spans="1:4" x14ac:dyDescent="0.25">
      <c r="A2" t="s">
        <v>180</v>
      </c>
    </row>
    <row r="3" spans="1:4" x14ac:dyDescent="0.25">
      <c r="A3" t="s">
        <v>179</v>
      </c>
      <c r="B3" t="s">
        <v>181</v>
      </c>
    </row>
    <row r="4" spans="1:4" x14ac:dyDescent="0.25">
      <c r="A4" t="s">
        <v>9</v>
      </c>
    </row>
    <row r="5" spans="1:4" x14ac:dyDescent="0.25">
      <c r="A5" t="s">
        <v>10</v>
      </c>
    </row>
    <row r="6" spans="1:4" x14ac:dyDescent="0.25">
      <c r="A6" t="s">
        <v>177</v>
      </c>
    </row>
    <row r="7" spans="1:4" x14ac:dyDescent="0.25">
      <c r="A7" t="s">
        <v>178</v>
      </c>
    </row>
    <row r="8" spans="1:4" x14ac:dyDescent="0.25">
      <c r="A8" t="s">
        <v>46</v>
      </c>
    </row>
    <row r="11" spans="1:4" x14ac:dyDescent="0.25">
      <c r="A11" t="s">
        <v>182</v>
      </c>
    </row>
    <row r="12" spans="1:4" x14ac:dyDescent="0.25">
      <c r="A12" t="s">
        <v>191</v>
      </c>
      <c r="B12" t="s">
        <v>211</v>
      </c>
    </row>
    <row r="13" spans="1:4" x14ac:dyDescent="0.25">
      <c r="A13" t="s">
        <v>85</v>
      </c>
      <c r="B13" cm="1">
        <f t="array" ref="B13">ThreadDimensions($B$12,A13)</f>
        <v>0</v>
      </c>
    </row>
    <row r="14" spans="1:4" x14ac:dyDescent="0.25">
      <c r="A14" s="5" t="s">
        <v>198</v>
      </c>
      <c r="B14" s="5"/>
      <c r="C14" s="5" t="s">
        <v>199</v>
      </c>
      <c r="D14" s="5"/>
    </row>
    <row r="15" spans="1:4" x14ac:dyDescent="0.25">
      <c r="A15" t="s">
        <v>189</v>
      </c>
      <c r="B15" t="str" cm="1">
        <f t="array" ref="B15">ThreadDimensions($B$12,A15)</f>
        <v>3A</v>
      </c>
      <c r="C15" t="s">
        <v>92</v>
      </c>
      <c r="D15" t="str" cm="1">
        <f t="array" ref="D15">ThreadDimensions($B$12,C15)</f>
        <v>3B</v>
      </c>
    </row>
    <row r="16" spans="1:4" x14ac:dyDescent="0.25">
      <c r="A16" t="s">
        <v>183</v>
      </c>
      <c r="B16" cm="1">
        <f t="array" ref="B16">ThreadDimensions($B$12,A16)</f>
        <v>0.25</v>
      </c>
      <c r="C16" t="s">
        <v>192</v>
      </c>
      <c r="D16" cm="1">
        <f t="array" ref="D16">ThreadDimensions($B$12,C16)</f>
        <v>0.25</v>
      </c>
    </row>
    <row r="17" spans="1:7" x14ac:dyDescent="0.25">
      <c r="A17" t="s">
        <v>184</v>
      </c>
      <c r="B17" cm="1">
        <f t="array" ref="B17">ThreadDimensions($B$12,A17)</f>
        <v>0.24349999999999999</v>
      </c>
      <c r="C17" t="s">
        <v>193</v>
      </c>
      <c r="D17" cm="1">
        <f t="array" ref="D17">ThreadDimensions($B$12,C17)</f>
        <v>0.219</v>
      </c>
    </row>
    <row r="18" spans="1:7" x14ac:dyDescent="0.25">
      <c r="A18" t="s">
        <v>185</v>
      </c>
      <c r="B18" cm="1">
        <f t="array" ref="B18">ThreadDimensions($B$12,A18)</f>
        <v>0</v>
      </c>
      <c r="C18" t="s">
        <v>194</v>
      </c>
      <c r="D18" cm="1">
        <f t="array" ref="D18">ThreadDimensions($B$12,C18)</f>
        <v>0.21099999999999999</v>
      </c>
    </row>
    <row r="19" spans="1:7" x14ac:dyDescent="0.25">
      <c r="A19" t="s">
        <v>186</v>
      </c>
      <c r="B19" cm="1">
        <f t="array" ref="B19">ThreadDimensions($B$12,A19)</f>
        <v>0.2268</v>
      </c>
      <c r="C19" t="s">
        <v>195</v>
      </c>
      <c r="D19" cm="1">
        <f t="array" ref="D19">ThreadDimensions($B$12,C19)</f>
        <v>0.23</v>
      </c>
    </row>
    <row r="20" spans="1:7" x14ac:dyDescent="0.25">
      <c r="A20" t="s">
        <v>187</v>
      </c>
      <c r="B20" cm="1">
        <f t="array" ref="B20">ThreadDimensions($B$12,A20)</f>
        <v>0.2243</v>
      </c>
      <c r="C20" t="s">
        <v>196</v>
      </c>
      <c r="D20" cm="1">
        <f t="array" ref="D20">ThreadDimensions($B$12,C20)</f>
        <v>0.2268</v>
      </c>
    </row>
    <row r="21" spans="1:7" x14ac:dyDescent="0.25">
      <c r="A21" t="s">
        <v>188</v>
      </c>
      <c r="B21" cm="1">
        <f t="array" ref="B21">ThreadDimensions($B$12,A21)</f>
        <v>2.5000000000000001E-3</v>
      </c>
      <c r="C21" t="s">
        <v>197</v>
      </c>
      <c r="D21" cm="1">
        <f t="array" ref="D21">ThreadDimensions($B$12,C21)</f>
        <v>3.2000000000000002E-3</v>
      </c>
    </row>
    <row r="22" spans="1:7" x14ac:dyDescent="0.25">
      <c r="A22" t="s">
        <v>190</v>
      </c>
      <c r="B22" cm="1">
        <f t="array" ref="B22">ThreadDimensions($B$12,A22)</f>
        <v>0.20749999999999999</v>
      </c>
    </row>
    <row r="23" spans="1:7" x14ac:dyDescent="0.25">
      <c r="A23" t="s">
        <v>218</v>
      </c>
      <c r="B23" cm="1">
        <f t="array" ref="B23">ThreadDimensions($B$12,A23)</f>
        <v>0.21010000000000001</v>
      </c>
    </row>
    <row r="24" spans="1:7" x14ac:dyDescent="0.25">
      <c r="A24" t="s">
        <v>219</v>
      </c>
      <c r="B24" cm="1">
        <f t="array" ref="B24">ThreadDimensions($B$12,A24)</f>
        <v>0.1986</v>
      </c>
    </row>
    <row r="26" spans="1:7" x14ac:dyDescent="0.25">
      <c r="A26" t="s">
        <v>200</v>
      </c>
      <c r="B26" t="s">
        <v>211</v>
      </c>
      <c r="C26">
        <v>1</v>
      </c>
      <c r="D26">
        <f>C26+2</f>
        <v>3</v>
      </c>
      <c r="G26">
        <f>F26+2</f>
        <v>2</v>
      </c>
    </row>
    <row r="27" spans="1:7" x14ac:dyDescent="0.25">
      <c r="A27" t="s">
        <v>201</v>
      </c>
      <c r="B27">
        <v>0.25</v>
      </c>
      <c r="C27">
        <v>2</v>
      </c>
      <c r="D27">
        <f t="shared" ref="D27:D38" si="0">C27+2</f>
        <v>4</v>
      </c>
      <c r="G27">
        <f t="shared" ref="G27:G38" si="1">F27+2</f>
        <v>2</v>
      </c>
    </row>
    <row r="28" spans="1:7" x14ac:dyDescent="0.25">
      <c r="A28" t="s">
        <v>202</v>
      </c>
      <c r="B28">
        <v>0.24349999999999999</v>
      </c>
      <c r="C28">
        <v>3</v>
      </c>
      <c r="D28">
        <f t="shared" si="0"/>
        <v>5</v>
      </c>
      <c r="G28">
        <f t="shared" si="1"/>
        <v>2</v>
      </c>
    </row>
    <row r="29" spans="1:7" x14ac:dyDescent="0.25">
      <c r="A29" t="s">
        <v>203</v>
      </c>
      <c r="B29">
        <v>0.375</v>
      </c>
      <c r="C29">
        <v>4</v>
      </c>
      <c r="D29">
        <f t="shared" si="0"/>
        <v>6</v>
      </c>
      <c r="G29">
        <f t="shared" si="1"/>
        <v>2</v>
      </c>
    </row>
    <row r="30" spans="1:7" x14ac:dyDescent="0.25">
      <c r="A30" t="s">
        <v>204</v>
      </c>
      <c r="B30">
        <v>0.36499999999999999</v>
      </c>
      <c r="C30">
        <v>5</v>
      </c>
      <c r="D30">
        <f t="shared" si="0"/>
        <v>7</v>
      </c>
      <c r="G30">
        <f t="shared" si="1"/>
        <v>2</v>
      </c>
    </row>
    <row r="31" spans="1:7" x14ac:dyDescent="0.25">
      <c r="A31" t="s">
        <v>205</v>
      </c>
      <c r="B31">
        <v>0.25</v>
      </c>
      <c r="C31">
        <v>6</v>
      </c>
      <c r="D31">
        <f t="shared" si="0"/>
        <v>8</v>
      </c>
      <c r="G31">
        <f t="shared" si="1"/>
        <v>2</v>
      </c>
    </row>
    <row r="32" spans="1:7" x14ac:dyDescent="0.25">
      <c r="A32" t="s">
        <v>206</v>
      </c>
      <c r="B32">
        <v>0.24399999999999999</v>
      </c>
      <c r="C32">
        <v>7</v>
      </c>
      <c r="D32">
        <f t="shared" si="0"/>
        <v>9</v>
      </c>
      <c r="G32">
        <f t="shared" si="1"/>
        <v>2</v>
      </c>
    </row>
    <row r="33" spans="1:8" x14ac:dyDescent="0.25">
      <c r="A33" t="s">
        <v>207</v>
      </c>
      <c r="B33">
        <f>1/28</f>
        <v>3.5714285714285712E-2</v>
      </c>
      <c r="C33">
        <v>8</v>
      </c>
      <c r="D33">
        <f t="shared" si="0"/>
        <v>10</v>
      </c>
      <c r="G33">
        <f t="shared" si="1"/>
        <v>2</v>
      </c>
    </row>
    <row r="34" spans="1:8" x14ac:dyDescent="0.25">
      <c r="A34" t="s">
        <v>208</v>
      </c>
      <c r="B34">
        <v>1</v>
      </c>
      <c r="C34">
        <v>9</v>
      </c>
      <c r="D34">
        <f t="shared" si="0"/>
        <v>11</v>
      </c>
      <c r="G34">
        <f t="shared" si="1"/>
        <v>2</v>
      </c>
    </row>
    <row r="35" spans="1:8" x14ac:dyDescent="0.25">
      <c r="A35" t="s">
        <v>209</v>
      </c>
      <c r="B35">
        <f>B36-0.03</f>
        <v>0.34499999999999997</v>
      </c>
      <c r="C35">
        <v>10</v>
      </c>
      <c r="D35">
        <f t="shared" si="0"/>
        <v>12</v>
      </c>
      <c r="G35">
        <f t="shared" si="1"/>
        <v>2</v>
      </c>
    </row>
    <row r="36" spans="1:8" x14ac:dyDescent="0.25">
      <c r="A36" t="s">
        <v>210</v>
      </c>
      <c r="B36">
        <v>0.375</v>
      </c>
      <c r="C36">
        <v>11</v>
      </c>
      <c r="D36">
        <f t="shared" si="0"/>
        <v>13</v>
      </c>
      <c r="G36">
        <f t="shared" si="1"/>
        <v>2</v>
      </c>
    </row>
    <row r="37" spans="1:8" x14ac:dyDescent="0.25">
      <c r="C37">
        <v>12</v>
      </c>
      <c r="D37">
        <f t="shared" si="0"/>
        <v>14</v>
      </c>
      <c r="G37">
        <f t="shared" si="1"/>
        <v>2</v>
      </c>
    </row>
    <row r="38" spans="1:8" x14ac:dyDescent="0.25">
      <c r="B38" s="4" t="e" cm="1">
        <f t="array" ref="B38">BoltInputReader(B26:B36)</f>
        <v>#VALUE!</v>
      </c>
      <c r="C38">
        <v>13</v>
      </c>
      <c r="D38">
        <f t="shared" si="0"/>
        <v>15</v>
      </c>
      <c r="G38">
        <f t="shared" si="1"/>
        <v>2</v>
      </c>
    </row>
    <row r="41" spans="1:8" x14ac:dyDescent="0.25">
      <c r="A41" t="s">
        <v>212</v>
      </c>
    </row>
    <row r="42" spans="1:8" x14ac:dyDescent="0.25">
      <c r="A42" t="s">
        <v>213</v>
      </c>
      <c r="B42" t="s">
        <v>214</v>
      </c>
    </row>
    <row r="43" spans="1:8" x14ac:dyDescent="0.25">
      <c r="A43" t="s">
        <v>216</v>
      </c>
      <c r="D43" t="s">
        <v>215</v>
      </c>
      <c r="G43" t="s">
        <v>217</v>
      </c>
    </row>
    <row r="44" spans="1:8" x14ac:dyDescent="0.25">
      <c r="A44">
        <v>1</v>
      </c>
      <c r="B44">
        <f>A44^2</f>
        <v>1</v>
      </c>
      <c r="D44">
        <f t="shared" ref="D44:D56" si="2">B44+2</f>
        <v>3</v>
      </c>
      <c r="E44">
        <f>D44+2</f>
        <v>5</v>
      </c>
      <c r="G44">
        <f t="shared" ref="G44:G56" si="3">E44+2</f>
        <v>7</v>
      </c>
      <c r="H44">
        <f>G44+2</f>
        <v>9</v>
      </c>
    </row>
    <row r="45" spans="1:8" x14ac:dyDescent="0.25">
      <c r="A45">
        <v>2</v>
      </c>
      <c r="B45">
        <f t="shared" ref="B45:B56" si="4">A45^2</f>
        <v>4</v>
      </c>
      <c r="D45">
        <f t="shared" si="2"/>
        <v>6</v>
      </c>
      <c r="E45">
        <f t="shared" ref="E45:E56" si="5">D45+2</f>
        <v>8</v>
      </c>
      <c r="G45">
        <f t="shared" si="3"/>
        <v>10</v>
      </c>
      <c r="H45">
        <f t="shared" ref="H45:H56" si="6">G45+2</f>
        <v>12</v>
      </c>
    </row>
    <row r="46" spans="1:8" x14ac:dyDescent="0.25">
      <c r="A46">
        <v>3</v>
      </c>
      <c r="B46">
        <f>A46^2</f>
        <v>9</v>
      </c>
      <c r="D46">
        <f t="shared" si="2"/>
        <v>11</v>
      </c>
      <c r="E46">
        <f t="shared" si="5"/>
        <v>13</v>
      </c>
      <c r="G46">
        <f t="shared" si="3"/>
        <v>15</v>
      </c>
      <c r="H46">
        <f t="shared" si="6"/>
        <v>17</v>
      </c>
    </row>
    <row r="47" spans="1:8" x14ac:dyDescent="0.25">
      <c r="A47">
        <v>4</v>
      </c>
      <c r="B47">
        <f t="shared" si="4"/>
        <v>16</v>
      </c>
      <c r="D47">
        <f t="shared" si="2"/>
        <v>18</v>
      </c>
      <c r="E47">
        <f t="shared" si="5"/>
        <v>20</v>
      </c>
      <c r="G47">
        <f t="shared" si="3"/>
        <v>22</v>
      </c>
      <c r="H47">
        <f t="shared" si="6"/>
        <v>24</v>
      </c>
    </row>
    <row r="48" spans="1:8" x14ac:dyDescent="0.25">
      <c r="A48">
        <v>5</v>
      </c>
      <c r="B48">
        <f t="shared" si="4"/>
        <v>25</v>
      </c>
      <c r="D48">
        <f t="shared" si="2"/>
        <v>27</v>
      </c>
      <c r="E48">
        <f t="shared" si="5"/>
        <v>29</v>
      </c>
      <c r="G48">
        <f t="shared" si="3"/>
        <v>31</v>
      </c>
      <c r="H48">
        <f t="shared" si="6"/>
        <v>33</v>
      </c>
    </row>
    <row r="49" spans="1:8" x14ac:dyDescent="0.25">
      <c r="A49">
        <v>6</v>
      </c>
      <c r="B49">
        <f t="shared" si="4"/>
        <v>36</v>
      </c>
      <c r="D49">
        <f t="shared" si="2"/>
        <v>38</v>
      </c>
      <c r="E49">
        <f t="shared" si="5"/>
        <v>40</v>
      </c>
      <c r="G49">
        <f t="shared" si="3"/>
        <v>42</v>
      </c>
      <c r="H49">
        <f>G49+2</f>
        <v>44</v>
      </c>
    </row>
    <row r="50" spans="1:8" x14ac:dyDescent="0.25">
      <c r="A50">
        <v>7</v>
      </c>
      <c r="B50">
        <f t="shared" si="4"/>
        <v>49</v>
      </c>
      <c r="D50">
        <f t="shared" si="2"/>
        <v>51</v>
      </c>
      <c r="E50">
        <f t="shared" si="5"/>
        <v>53</v>
      </c>
      <c r="G50">
        <f t="shared" si="3"/>
        <v>55</v>
      </c>
      <c r="H50">
        <f t="shared" si="6"/>
        <v>57</v>
      </c>
    </row>
    <row r="51" spans="1:8" x14ac:dyDescent="0.25">
      <c r="A51">
        <v>8</v>
      </c>
      <c r="B51">
        <f t="shared" si="4"/>
        <v>64</v>
      </c>
      <c r="D51">
        <f t="shared" si="2"/>
        <v>66</v>
      </c>
      <c r="E51">
        <f t="shared" si="5"/>
        <v>68</v>
      </c>
      <c r="G51">
        <f t="shared" si="3"/>
        <v>70</v>
      </c>
      <c r="H51">
        <f t="shared" si="6"/>
        <v>72</v>
      </c>
    </row>
    <row r="52" spans="1:8" x14ac:dyDescent="0.25">
      <c r="A52">
        <v>9</v>
      </c>
      <c r="B52">
        <f t="shared" si="4"/>
        <v>81</v>
      </c>
      <c r="D52">
        <f t="shared" si="2"/>
        <v>83</v>
      </c>
      <c r="E52">
        <f t="shared" si="5"/>
        <v>85</v>
      </c>
      <c r="G52">
        <f t="shared" si="3"/>
        <v>87</v>
      </c>
      <c r="H52">
        <f t="shared" si="6"/>
        <v>89</v>
      </c>
    </row>
    <row r="53" spans="1:8" x14ac:dyDescent="0.25">
      <c r="A53">
        <v>10</v>
      </c>
      <c r="B53">
        <f t="shared" si="4"/>
        <v>100</v>
      </c>
      <c r="D53">
        <f t="shared" si="2"/>
        <v>102</v>
      </c>
      <c r="E53">
        <f t="shared" si="5"/>
        <v>104</v>
      </c>
      <c r="G53">
        <f t="shared" si="3"/>
        <v>106</v>
      </c>
      <c r="H53">
        <f t="shared" si="6"/>
        <v>108</v>
      </c>
    </row>
    <row r="54" spans="1:8" x14ac:dyDescent="0.25">
      <c r="A54">
        <v>11</v>
      </c>
      <c r="B54">
        <f t="shared" si="4"/>
        <v>121</v>
      </c>
      <c r="D54">
        <f t="shared" si="2"/>
        <v>123</v>
      </c>
      <c r="E54">
        <f t="shared" si="5"/>
        <v>125</v>
      </c>
      <c r="G54">
        <f t="shared" si="3"/>
        <v>127</v>
      </c>
      <c r="H54">
        <f t="shared" si="6"/>
        <v>129</v>
      </c>
    </row>
    <row r="55" spans="1:8" x14ac:dyDescent="0.25">
      <c r="A55">
        <v>12</v>
      </c>
      <c r="B55">
        <f t="shared" si="4"/>
        <v>144</v>
      </c>
      <c r="D55">
        <f t="shared" si="2"/>
        <v>146</v>
      </c>
      <c r="E55">
        <f t="shared" si="5"/>
        <v>148</v>
      </c>
      <c r="G55">
        <f t="shared" si="3"/>
        <v>150</v>
      </c>
      <c r="H55">
        <f t="shared" si="6"/>
        <v>152</v>
      </c>
    </row>
    <row r="56" spans="1:8" x14ac:dyDescent="0.25">
      <c r="A56">
        <v>13</v>
      </c>
      <c r="B56">
        <f t="shared" si="4"/>
        <v>169</v>
      </c>
      <c r="D56">
        <f t="shared" si="2"/>
        <v>171</v>
      </c>
      <c r="E56">
        <f t="shared" si="5"/>
        <v>173</v>
      </c>
      <c r="G56">
        <f t="shared" si="3"/>
        <v>175</v>
      </c>
      <c r="H56">
        <f t="shared" si="6"/>
        <v>177</v>
      </c>
    </row>
    <row r="63" spans="1:8" x14ac:dyDescent="0.25">
      <c r="A63" t="s">
        <v>220</v>
      </c>
    </row>
    <row r="64" spans="1:8" x14ac:dyDescent="0.25">
      <c r="A64" t="s">
        <v>223</v>
      </c>
      <c r="B64" t="s">
        <v>222</v>
      </c>
    </row>
    <row r="65" spans="1:2" x14ac:dyDescent="0.25">
      <c r="A65" t="s">
        <v>221</v>
      </c>
      <c r="B65" t="str" cm="1">
        <f t="array" ref="B65">PlotDataRange(A63,A67,A68:A82,B68:B82)</f>
        <v>True</v>
      </c>
    </row>
    <row r="67" spans="1:2" x14ac:dyDescent="0.25">
      <c r="A67" t="s">
        <v>50</v>
      </c>
    </row>
    <row r="68" spans="1:2" x14ac:dyDescent="0.25">
      <c r="A68" cm="1">
        <f t="array" ref="A68:B82">BoltGeometryArray(B26:B36,B64)</f>
        <v>-0.1875</v>
      </c>
      <c r="B68">
        <v>0</v>
      </c>
    </row>
    <row r="69" spans="1:2" x14ac:dyDescent="0.25">
      <c r="A69">
        <v>-0.125</v>
      </c>
      <c r="B69">
        <v>0</v>
      </c>
    </row>
    <row r="70" spans="1:2" x14ac:dyDescent="0.25">
      <c r="A70">
        <v>-0.125</v>
      </c>
      <c r="B70">
        <v>-3.0000000000000027E-2</v>
      </c>
    </row>
    <row r="71" spans="1:2" x14ac:dyDescent="0.25">
      <c r="A71">
        <v>-0.125</v>
      </c>
      <c r="B71">
        <v>-3.0000000000000027E-2</v>
      </c>
    </row>
    <row r="72" spans="1:2" x14ac:dyDescent="0.25">
      <c r="A72">
        <v>-0.125</v>
      </c>
      <c r="B72">
        <v>-0.3392857142857143</v>
      </c>
    </row>
    <row r="73" spans="1:2" x14ac:dyDescent="0.25">
      <c r="A73">
        <v>-0.10505</v>
      </c>
      <c r="B73">
        <v>-0.375</v>
      </c>
    </row>
    <row r="74" spans="1:2" x14ac:dyDescent="0.25">
      <c r="A74">
        <v>0.10505</v>
      </c>
      <c r="B74">
        <v>-0.375</v>
      </c>
    </row>
    <row r="75" spans="1:2" x14ac:dyDescent="0.25">
      <c r="A75">
        <v>0.125</v>
      </c>
      <c r="B75">
        <v>-0.3392857142857143</v>
      </c>
    </row>
    <row r="76" spans="1:2" x14ac:dyDescent="0.25">
      <c r="A76">
        <v>0.125</v>
      </c>
      <c r="B76">
        <v>-3.0000000000000027E-2</v>
      </c>
    </row>
    <row r="77" spans="1:2" x14ac:dyDescent="0.25">
      <c r="A77">
        <v>0.125</v>
      </c>
      <c r="B77">
        <v>-3.0000000000000027E-2</v>
      </c>
    </row>
    <row r="78" spans="1:2" x14ac:dyDescent="0.25">
      <c r="A78">
        <v>0.125</v>
      </c>
      <c r="B78">
        <v>0</v>
      </c>
    </row>
    <row r="79" spans="1:2" x14ac:dyDescent="0.25">
      <c r="A79">
        <v>0.1875</v>
      </c>
      <c r="B79">
        <v>0</v>
      </c>
    </row>
    <row r="80" spans="1:2" x14ac:dyDescent="0.25">
      <c r="A80">
        <v>0.1875</v>
      </c>
      <c r="B80">
        <v>0.25</v>
      </c>
    </row>
    <row r="81" spans="1:2" x14ac:dyDescent="0.25">
      <c r="A81">
        <v>-0.1875</v>
      </c>
      <c r="B81">
        <v>0.25</v>
      </c>
    </row>
    <row r="82" spans="1:2" x14ac:dyDescent="0.25">
      <c r="A82">
        <v>-0.1875</v>
      </c>
      <c r="B82">
        <v>0</v>
      </c>
    </row>
    <row r="87" spans="1:2" x14ac:dyDescent="0.25">
      <c r="A87" t="s">
        <v>224</v>
      </c>
    </row>
    <row r="88" spans="1:2" x14ac:dyDescent="0.25">
      <c r="A88" t="s">
        <v>213</v>
      </c>
      <c r="B88" t="s">
        <v>225</v>
      </c>
    </row>
    <row r="89" spans="1:2" x14ac:dyDescent="0.25">
      <c r="A89" t="s">
        <v>226</v>
      </c>
      <c r="B89" t="s">
        <v>222</v>
      </c>
    </row>
    <row r="90" spans="1:2" x14ac:dyDescent="0.25">
      <c r="A90" t="s">
        <v>221</v>
      </c>
      <c r="B90" t="b" cm="1">
        <f t="array" ref="B90">GraphicalBoltedJoint(B88,B26:B36,B89)</f>
        <v>1</v>
      </c>
    </row>
  </sheetData>
  <dataConsolidate/>
  <mergeCells count="2">
    <mergeCell ref="A14:B14"/>
    <mergeCell ref="C14:D14"/>
  </mergeCells>
  <pageMargins left="0.7" right="0.7" top="0.75" bottom="0.75" header="0.3" footer="0.3"/>
  <pageSetup paperSize="145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AE9D3C77-51E8-4350-B14C-1F8F77285348}">
          <x14:formula1>
            <xm:f>'ASME B1.1-2003 Dimensions'!$A$2:$A$109</xm:f>
          </x14:formula1>
          <xm:sqref>B12 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00005-A1F9-408F-BD25-FA410A53B400}">
  <sheetPr codeName="Sheet2"/>
  <dimension ref="A1:U109"/>
  <sheetViews>
    <sheetView topLeftCell="D1" workbookViewId="0">
      <selection activeCell="K14" sqref="K14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84</v>
      </c>
      <c r="B1" t="s">
        <v>170</v>
      </c>
      <c r="C1" t="s">
        <v>171</v>
      </c>
      <c r="D1" t="s">
        <v>172</v>
      </c>
      <c r="E1" t="s">
        <v>173</v>
      </c>
      <c r="F1" t="s">
        <v>174</v>
      </c>
      <c r="G1" t="s">
        <v>85</v>
      </c>
      <c r="H1" t="s">
        <v>86</v>
      </c>
      <c r="I1" t="s">
        <v>87</v>
      </c>
      <c r="J1" t="s">
        <v>99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89</v>
      </c>
      <c r="S1" t="s">
        <v>88</v>
      </c>
      <c r="T1" t="s">
        <v>90</v>
      </c>
      <c r="U1" t="s">
        <v>87</v>
      </c>
    </row>
    <row r="2" spans="1:21" x14ac:dyDescent="0.25">
      <c r="A2" t="str">
        <f>_xlfn.CONCAT(B2," ",C2," ",D2," ",E2," CLASS ",LEFT(F2,1))</f>
        <v>0–80 or 0.060–80 UNF CLASS 2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56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51</v>
      </c>
      <c r="C3" t="s">
        <v>52</v>
      </c>
      <c r="D3" t="s">
        <v>53</v>
      </c>
      <c r="E3" t="s">
        <v>54</v>
      </c>
      <c r="F3" t="s">
        <v>57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58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59</v>
      </c>
      <c r="C4" t="s">
        <v>52</v>
      </c>
      <c r="D4" t="s">
        <v>60</v>
      </c>
      <c r="E4" t="s">
        <v>61</v>
      </c>
      <c r="F4" t="s">
        <v>55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56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59</v>
      </c>
      <c r="C5" t="s">
        <v>52</v>
      </c>
      <c r="D5" t="s">
        <v>60</v>
      </c>
      <c r="E5" t="s">
        <v>61</v>
      </c>
      <c r="F5" t="s">
        <v>57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58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62</v>
      </c>
      <c r="C6" t="s">
        <v>52</v>
      </c>
      <c r="D6" t="s">
        <v>63</v>
      </c>
      <c r="E6" t="s">
        <v>54</v>
      </c>
      <c r="F6" t="s">
        <v>55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56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62</v>
      </c>
      <c r="C7" t="s">
        <v>52</v>
      </c>
      <c r="D7" t="s">
        <v>63</v>
      </c>
      <c r="E7" t="s">
        <v>54</v>
      </c>
      <c r="F7" t="s">
        <v>57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58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64</v>
      </c>
      <c r="C8" t="s">
        <v>52</v>
      </c>
      <c r="D8" t="s">
        <v>65</v>
      </c>
      <c r="E8" t="s">
        <v>61</v>
      </c>
      <c r="F8" t="s">
        <v>55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56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64</v>
      </c>
      <c r="C9" t="s">
        <v>52</v>
      </c>
      <c r="D9" t="s">
        <v>65</v>
      </c>
      <c r="E9" t="s">
        <v>61</v>
      </c>
      <c r="F9" t="s">
        <v>57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58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66</v>
      </c>
      <c r="C10" t="s">
        <v>52</v>
      </c>
      <c r="D10" t="s">
        <v>67</v>
      </c>
      <c r="E10" t="s">
        <v>54</v>
      </c>
      <c r="F10" t="s">
        <v>55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56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66</v>
      </c>
      <c r="C11" t="s">
        <v>52</v>
      </c>
      <c r="D11" t="s">
        <v>67</v>
      </c>
      <c r="E11" t="s">
        <v>54</v>
      </c>
      <c r="F11" t="s">
        <v>57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58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68</v>
      </c>
      <c r="C12" t="s">
        <v>52</v>
      </c>
      <c r="D12" t="s">
        <v>69</v>
      </c>
      <c r="E12" t="s">
        <v>61</v>
      </c>
      <c r="F12" t="s">
        <v>55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56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68</v>
      </c>
      <c r="C13" t="s">
        <v>52</v>
      </c>
      <c r="D13" t="s">
        <v>69</v>
      </c>
      <c r="E13" t="s">
        <v>61</v>
      </c>
      <c r="F13" t="s">
        <v>57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58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70</v>
      </c>
      <c r="C14" t="s">
        <v>52</v>
      </c>
      <c r="D14" t="s">
        <v>71</v>
      </c>
      <c r="E14" t="s">
        <v>54</v>
      </c>
      <c r="F14" t="s">
        <v>55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56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70</v>
      </c>
      <c r="C15" t="s">
        <v>52</v>
      </c>
      <c r="D15" t="s">
        <v>71</v>
      </c>
      <c r="E15" t="s">
        <v>54</v>
      </c>
      <c r="F15" t="s">
        <v>57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58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72</v>
      </c>
      <c r="C16" t="s">
        <v>52</v>
      </c>
      <c r="D16" t="s">
        <v>73</v>
      </c>
      <c r="E16" t="s">
        <v>61</v>
      </c>
      <c r="F16" t="s">
        <v>55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56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72</v>
      </c>
      <c r="C17" t="s">
        <v>52</v>
      </c>
      <c r="D17" t="s">
        <v>73</v>
      </c>
      <c r="E17" t="s">
        <v>61</v>
      </c>
      <c r="F17" t="s">
        <v>57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58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74</v>
      </c>
      <c r="C18" t="s">
        <v>52</v>
      </c>
      <c r="D18" t="s">
        <v>75</v>
      </c>
      <c r="E18" t="s">
        <v>54</v>
      </c>
      <c r="F18" t="s">
        <v>55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56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74</v>
      </c>
      <c r="C19" t="s">
        <v>52</v>
      </c>
      <c r="D19" t="s">
        <v>75</v>
      </c>
      <c r="E19" t="s">
        <v>54</v>
      </c>
      <c r="F19" t="s">
        <v>57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58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76</v>
      </c>
      <c r="C20" t="s">
        <v>52</v>
      </c>
      <c r="D20" t="s">
        <v>77</v>
      </c>
      <c r="E20" t="s">
        <v>61</v>
      </c>
      <c r="F20" t="s">
        <v>55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56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76</v>
      </c>
      <c r="C21" t="s">
        <v>52</v>
      </c>
      <c r="D21" t="s">
        <v>77</v>
      </c>
      <c r="E21" t="s">
        <v>61</v>
      </c>
      <c r="F21" t="s">
        <v>57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58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78</v>
      </c>
      <c r="C22" t="s">
        <v>52</v>
      </c>
      <c r="D22" t="s">
        <v>79</v>
      </c>
      <c r="E22" t="s">
        <v>54</v>
      </c>
      <c r="F22" t="s">
        <v>55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56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78</v>
      </c>
      <c r="C23" t="s">
        <v>52</v>
      </c>
      <c r="D23" t="s">
        <v>79</v>
      </c>
      <c r="E23" t="s">
        <v>54</v>
      </c>
      <c r="F23" t="s">
        <v>57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58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80</v>
      </c>
      <c r="C24" t="s">
        <v>52</v>
      </c>
      <c r="D24" t="s">
        <v>81</v>
      </c>
      <c r="E24" t="s">
        <v>61</v>
      </c>
      <c r="F24" t="s">
        <v>55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56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80</v>
      </c>
      <c r="C25" t="s">
        <v>52</v>
      </c>
      <c r="D25" t="s">
        <v>81</v>
      </c>
      <c r="E25" t="s">
        <v>61</v>
      </c>
      <c r="F25" t="s">
        <v>57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58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82</v>
      </c>
      <c r="C26" t="s">
        <v>52</v>
      </c>
      <c r="D26" t="s">
        <v>83</v>
      </c>
      <c r="E26" t="s">
        <v>54</v>
      </c>
      <c r="F26" t="s">
        <v>55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56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82</v>
      </c>
      <c r="C27" t="s">
        <v>52</v>
      </c>
      <c r="D27" t="s">
        <v>83</v>
      </c>
      <c r="E27" t="s">
        <v>54</v>
      </c>
      <c r="F27" t="s">
        <v>57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58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2" t="s">
        <v>166</v>
      </c>
      <c r="C28" t="s">
        <v>52</v>
      </c>
      <c r="D28" t="s">
        <v>100</v>
      </c>
      <c r="E28" t="s">
        <v>61</v>
      </c>
      <c r="F28" t="s">
        <v>55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56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2" t="s">
        <v>166</v>
      </c>
      <c r="C29" t="s">
        <v>52</v>
      </c>
      <c r="D29" t="s">
        <v>100</v>
      </c>
      <c r="E29" t="s">
        <v>61</v>
      </c>
      <c r="F29" t="s">
        <v>57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58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2" t="s">
        <v>167</v>
      </c>
      <c r="C30" t="s">
        <v>52</v>
      </c>
      <c r="D30" t="s">
        <v>101</v>
      </c>
      <c r="E30" t="s">
        <v>54</v>
      </c>
      <c r="F30" t="s">
        <v>55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56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2" t="s">
        <v>167</v>
      </c>
      <c r="C31" t="s">
        <v>52</v>
      </c>
      <c r="D31" t="s">
        <v>101</v>
      </c>
      <c r="E31" t="s">
        <v>54</v>
      </c>
      <c r="F31" t="s">
        <v>57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58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3" t="s">
        <v>168</v>
      </c>
      <c r="C32" t="s">
        <v>52</v>
      </c>
      <c r="D32" t="s">
        <v>102</v>
      </c>
      <c r="E32" t="s">
        <v>61</v>
      </c>
      <c r="F32" t="s">
        <v>55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56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3" t="s">
        <v>168</v>
      </c>
      <c r="C33" t="s">
        <v>52</v>
      </c>
      <c r="D33" t="s">
        <v>102</v>
      </c>
      <c r="E33" t="s">
        <v>61</v>
      </c>
      <c r="F33" t="s">
        <v>57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58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2" t="s">
        <v>163</v>
      </c>
      <c r="C34" t="s">
        <v>52</v>
      </c>
      <c r="D34" t="s">
        <v>103</v>
      </c>
      <c r="E34" t="s">
        <v>54</v>
      </c>
      <c r="F34" t="s">
        <v>55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56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2" t="s">
        <v>163</v>
      </c>
      <c r="C35" t="s">
        <v>52</v>
      </c>
      <c r="D35" t="s">
        <v>103</v>
      </c>
      <c r="E35" t="s">
        <v>54</v>
      </c>
      <c r="F35" t="s">
        <v>57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58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3" t="s">
        <v>164</v>
      </c>
      <c r="C36" t="s">
        <v>52</v>
      </c>
      <c r="D36" t="s">
        <v>104</v>
      </c>
      <c r="E36" t="s">
        <v>61</v>
      </c>
      <c r="F36" t="s">
        <v>55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56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3" t="s">
        <v>164</v>
      </c>
      <c r="C37" t="s">
        <v>52</v>
      </c>
      <c r="D37" t="s">
        <v>104</v>
      </c>
      <c r="E37" t="s">
        <v>61</v>
      </c>
      <c r="F37" t="s">
        <v>57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58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3" t="s">
        <v>165</v>
      </c>
      <c r="C38" t="s">
        <v>52</v>
      </c>
      <c r="D38" t="s">
        <v>105</v>
      </c>
      <c r="E38" t="s">
        <v>54</v>
      </c>
      <c r="F38" t="s">
        <v>55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56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3" t="s">
        <v>165</v>
      </c>
      <c r="C39" t="s">
        <v>52</v>
      </c>
      <c r="D39" t="s">
        <v>105</v>
      </c>
      <c r="E39" t="s">
        <v>54</v>
      </c>
      <c r="F39" t="s">
        <v>57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58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2" t="s">
        <v>169</v>
      </c>
      <c r="C40" t="s">
        <v>52</v>
      </c>
      <c r="D40" t="s">
        <v>106</v>
      </c>
      <c r="E40" t="s">
        <v>95</v>
      </c>
      <c r="F40" t="s">
        <v>55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56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2" t="s">
        <v>169</v>
      </c>
      <c r="C41" t="s">
        <v>52</v>
      </c>
      <c r="D41" t="s">
        <v>106</v>
      </c>
      <c r="E41" t="s">
        <v>95</v>
      </c>
      <c r="F41" t="s">
        <v>57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58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107</v>
      </c>
      <c r="C42" t="s">
        <v>52</v>
      </c>
      <c r="D42" t="s">
        <v>108</v>
      </c>
      <c r="E42" t="s">
        <v>61</v>
      </c>
      <c r="F42" t="s">
        <v>96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97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107</v>
      </c>
      <c r="C43" t="s">
        <v>52</v>
      </c>
      <c r="D43" t="s">
        <v>108</v>
      </c>
      <c r="E43" t="s">
        <v>61</v>
      </c>
      <c r="F43" t="s">
        <v>55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56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107</v>
      </c>
      <c r="C44" t="s">
        <v>52</v>
      </c>
      <c r="D44" t="s">
        <v>108</v>
      </c>
      <c r="E44" t="s">
        <v>61</v>
      </c>
      <c r="F44" t="s">
        <v>57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58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109</v>
      </c>
      <c r="C45" t="s">
        <v>52</v>
      </c>
      <c r="D45" t="s">
        <v>110</v>
      </c>
      <c r="E45" t="s">
        <v>54</v>
      </c>
      <c r="F45" t="s">
        <v>96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97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109</v>
      </c>
      <c r="C46" t="s">
        <v>52</v>
      </c>
      <c r="D46" t="s">
        <v>110</v>
      </c>
      <c r="E46" t="s">
        <v>54</v>
      </c>
      <c r="F46" t="s">
        <v>55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56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109</v>
      </c>
      <c r="C47" t="s">
        <v>52</v>
      </c>
      <c r="D47" t="s">
        <v>110</v>
      </c>
      <c r="E47" t="s">
        <v>54</v>
      </c>
      <c r="F47" t="s">
        <v>57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58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111</v>
      </c>
      <c r="C48" t="s">
        <v>52</v>
      </c>
      <c r="D48" t="s">
        <v>112</v>
      </c>
      <c r="E48" t="s">
        <v>95</v>
      </c>
      <c r="F48" t="s">
        <v>55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56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111</v>
      </c>
      <c r="C49" t="s">
        <v>52</v>
      </c>
      <c r="D49" t="s">
        <v>112</v>
      </c>
      <c r="E49" t="s">
        <v>95</v>
      </c>
      <c r="F49" t="s">
        <v>57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58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113</v>
      </c>
      <c r="C50" t="s">
        <v>52</v>
      </c>
      <c r="D50" t="s">
        <v>114</v>
      </c>
      <c r="E50" t="s">
        <v>61</v>
      </c>
      <c r="F50" t="s">
        <v>96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97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113</v>
      </c>
      <c r="C51" t="s">
        <v>52</v>
      </c>
      <c r="D51" t="s">
        <v>114</v>
      </c>
      <c r="E51" t="s">
        <v>61</v>
      </c>
      <c r="F51" t="s">
        <v>55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56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113</v>
      </c>
      <c r="C52" t="s">
        <v>52</v>
      </c>
      <c r="D52" t="s">
        <v>114</v>
      </c>
      <c r="E52" t="s">
        <v>61</v>
      </c>
      <c r="F52" t="s">
        <v>57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58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115</v>
      </c>
      <c r="C53" t="s">
        <v>52</v>
      </c>
      <c r="D53" t="s">
        <v>116</v>
      </c>
      <c r="E53" t="s">
        <v>98</v>
      </c>
      <c r="F53" t="s">
        <v>55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56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115</v>
      </c>
      <c r="C54" t="s">
        <v>52</v>
      </c>
      <c r="D54" t="s">
        <v>116</v>
      </c>
      <c r="E54" t="s">
        <v>98</v>
      </c>
      <c r="F54" t="s">
        <v>57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58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117</v>
      </c>
      <c r="C55" t="s">
        <v>52</v>
      </c>
      <c r="D55" t="s">
        <v>118</v>
      </c>
      <c r="E55" t="s">
        <v>54</v>
      </c>
      <c r="F55" t="s">
        <v>96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97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117</v>
      </c>
      <c r="C56" t="s">
        <v>52</v>
      </c>
      <c r="D56" t="s">
        <v>118</v>
      </c>
      <c r="E56" t="s">
        <v>54</v>
      </c>
      <c r="F56" t="s">
        <v>55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56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117</v>
      </c>
      <c r="C57" t="s">
        <v>52</v>
      </c>
      <c r="D57" t="s">
        <v>118</v>
      </c>
      <c r="E57" t="s">
        <v>54</v>
      </c>
      <c r="F57" t="s">
        <v>57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58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119</v>
      </c>
      <c r="C58" t="s">
        <v>52</v>
      </c>
      <c r="D58" t="s">
        <v>120</v>
      </c>
      <c r="E58" t="s">
        <v>98</v>
      </c>
      <c r="F58" t="s">
        <v>55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56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119</v>
      </c>
      <c r="C59" t="s">
        <v>52</v>
      </c>
      <c r="D59" t="s">
        <v>120</v>
      </c>
      <c r="E59" t="s">
        <v>98</v>
      </c>
      <c r="F59" t="s">
        <v>57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58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121</v>
      </c>
      <c r="C60" t="s">
        <v>52</v>
      </c>
      <c r="D60" t="s">
        <v>122</v>
      </c>
      <c r="E60" t="s">
        <v>95</v>
      </c>
      <c r="F60" t="s">
        <v>55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56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121</v>
      </c>
      <c r="C61" t="s">
        <v>52</v>
      </c>
      <c r="D61" t="s">
        <v>122</v>
      </c>
      <c r="E61" t="s">
        <v>95</v>
      </c>
      <c r="F61" t="s">
        <v>57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58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123</v>
      </c>
      <c r="C62" t="s">
        <v>52</v>
      </c>
      <c r="D62" t="s">
        <v>124</v>
      </c>
      <c r="E62" t="s">
        <v>61</v>
      </c>
      <c r="F62" t="s">
        <v>96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97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123</v>
      </c>
      <c r="C63" t="s">
        <v>52</v>
      </c>
      <c r="D63" t="s">
        <v>124</v>
      </c>
      <c r="E63" t="s">
        <v>61</v>
      </c>
      <c r="F63" t="s">
        <v>55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56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123</v>
      </c>
      <c r="C64" t="s">
        <v>52</v>
      </c>
      <c r="D64" t="s">
        <v>124</v>
      </c>
      <c r="E64" t="s">
        <v>61</v>
      </c>
      <c r="F64" t="s">
        <v>57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58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125</v>
      </c>
      <c r="C65" t="s">
        <v>52</v>
      </c>
      <c r="D65" t="s">
        <v>126</v>
      </c>
      <c r="E65" t="s">
        <v>98</v>
      </c>
      <c r="F65" t="s">
        <v>55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56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125</v>
      </c>
      <c r="C66" t="s">
        <v>52</v>
      </c>
      <c r="D66" t="s">
        <v>126</v>
      </c>
      <c r="E66" t="s">
        <v>98</v>
      </c>
      <c r="F66" t="s">
        <v>57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58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127</v>
      </c>
      <c r="C67" t="s">
        <v>52</v>
      </c>
      <c r="D67" t="s">
        <v>128</v>
      </c>
      <c r="E67" t="s">
        <v>54</v>
      </c>
      <c r="F67" t="s">
        <v>96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97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127</v>
      </c>
      <c r="C68" t="s">
        <v>52</v>
      </c>
      <c r="D68" t="s">
        <v>128</v>
      </c>
      <c r="E68" t="s">
        <v>54</v>
      </c>
      <c r="F68" t="s">
        <v>55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56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127</v>
      </c>
      <c r="C69" t="s">
        <v>52</v>
      </c>
      <c r="D69" t="s">
        <v>128</v>
      </c>
      <c r="E69" t="s">
        <v>54</v>
      </c>
      <c r="F69" t="s">
        <v>57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58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129</v>
      </c>
      <c r="C70" t="s">
        <v>52</v>
      </c>
      <c r="D70" t="s">
        <v>130</v>
      </c>
      <c r="E70" t="s">
        <v>98</v>
      </c>
      <c r="F70" t="s">
        <v>55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56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129</v>
      </c>
      <c r="C71" t="s">
        <v>52</v>
      </c>
      <c r="D71" t="s">
        <v>130</v>
      </c>
      <c r="E71" t="s">
        <v>98</v>
      </c>
      <c r="F71" t="s">
        <v>57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58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131</v>
      </c>
      <c r="C72" t="s">
        <v>52</v>
      </c>
      <c r="D72" t="s">
        <v>132</v>
      </c>
      <c r="E72" t="s">
        <v>95</v>
      </c>
      <c r="F72" t="s">
        <v>55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56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131</v>
      </c>
      <c r="C73" t="s">
        <v>52</v>
      </c>
      <c r="D73" t="s">
        <v>132</v>
      </c>
      <c r="E73" t="s">
        <v>95</v>
      </c>
      <c r="F73" t="s">
        <v>57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58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133</v>
      </c>
      <c r="C74" t="s">
        <v>52</v>
      </c>
      <c r="D74" t="s">
        <v>134</v>
      </c>
      <c r="E74" t="s">
        <v>61</v>
      </c>
      <c r="F74" t="s">
        <v>96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97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133</v>
      </c>
      <c r="C75" t="s">
        <v>52</v>
      </c>
      <c r="D75" t="s">
        <v>134</v>
      </c>
      <c r="E75" t="s">
        <v>61</v>
      </c>
      <c r="F75" t="s">
        <v>55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56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133</v>
      </c>
      <c r="C76" t="s">
        <v>52</v>
      </c>
      <c r="D76" t="s">
        <v>134</v>
      </c>
      <c r="E76" t="s">
        <v>61</v>
      </c>
      <c r="F76" t="s">
        <v>57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58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135</v>
      </c>
      <c r="C77" t="s">
        <v>52</v>
      </c>
      <c r="D77" t="s">
        <v>136</v>
      </c>
      <c r="E77" t="s">
        <v>98</v>
      </c>
      <c r="F77" t="s">
        <v>55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56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135</v>
      </c>
      <c r="C78" t="s">
        <v>52</v>
      </c>
      <c r="D78" t="s">
        <v>136</v>
      </c>
      <c r="E78" t="s">
        <v>98</v>
      </c>
      <c r="F78" t="s">
        <v>57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58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137</v>
      </c>
      <c r="C79" t="s">
        <v>52</v>
      </c>
      <c r="D79" t="s">
        <v>138</v>
      </c>
      <c r="E79" t="s">
        <v>54</v>
      </c>
      <c r="F79" t="s">
        <v>96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97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137</v>
      </c>
      <c r="C80" t="s">
        <v>52</v>
      </c>
      <c r="D80" t="s">
        <v>138</v>
      </c>
      <c r="E80" t="s">
        <v>54</v>
      </c>
      <c r="F80" t="s">
        <v>55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56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137</v>
      </c>
      <c r="C81" t="s">
        <v>52</v>
      </c>
      <c r="D81" t="s">
        <v>138</v>
      </c>
      <c r="E81" t="s">
        <v>54</v>
      </c>
      <c r="F81" t="s">
        <v>57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58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139</v>
      </c>
      <c r="C82" t="s">
        <v>52</v>
      </c>
      <c r="D82" t="s">
        <v>140</v>
      </c>
      <c r="E82" t="s">
        <v>95</v>
      </c>
      <c r="F82" t="s">
        <v>55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56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139</v>
      </c>
      <c r="C83" t="s">
        <v>52</v>
      </c>
      <c r="D83" t="s">
        <v>140</v>
      </c>
      <c r="E83" t="s">
        <v>95</v>
      </c>
      <c r="F83" t="s">
        <v>57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58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141</v>
      </c>
      <c r="C84" t="s">
        <v>52</v>
      </c>
      <c r="D84" t="s">
        <v>142</v>
      </c>
      <c r="E84" t="s">
        <v>98</v>
      </c>
      <c r="F84" t="s">
        <v>55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56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141</v>
      </c>
      <c r="C85" t="s">
        <v>52</v>
      </c>
      <c r="D85" t="s">
        <v>142</v>
      </c>
      <c r="E85" t="s">
        <v>98</v>
      </c>
      <c r="F85" t="s">
        <v>57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58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143</v>
      </c>
      <c r="C86" t="s">
        <v>52</v>
      </c>
      <c r="D86" t="s">
        <v>144</v>
      </c>
      <c r="E86" t="s">
        <v>61</v>
      </c>
      <c r="F86" t="s">
        <v>96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97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143</v>
      </c>
      <c r="C87" t="s">
        <v>52</v>
      </c>
      <c r="D87" t="s">
        <v>144</v>
      </c>
      <c r="E87" t="s">
        <v>61</v>
      </c>
      <c r="F87" t="s">
        <v>55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56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143</v>
      </c>
      <c r="C88" t="s">
        <v>52</v>
      </c>
      <c r="D88" t="s">
        <v>144</v>
      </c>
      <c r="E88" t="s">
        <v>61</v>
      </c>
      <c r="F88" t="s">
        <v>57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58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145</v>
      </c>
      <c r="C89" t="s">
        <v>52</v>
      </c>
      <c r="D89" t="s">
        <v>146</v>
      </c>
      <c r="E89" t="s">
        <v>98</v>
      </c>
      <c r="F89" t="s">
        <v>55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56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145</v>
      </c>
      <c r="C90" t="s">
        <v>52</v>
      </c>
      <c r="D90" t="s">
        <v>146</v>
      </c>
      <c r="E90" t="s">
        <v>98</v>
      </c>
      <c r="F90" t="s">
        <v>57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58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147</v>
      </c>
      <c r="C91" t="s">
        <v>52</v>
      </c>
      <c r="D91" t="s">
        <v>148</v>
      </c>
      <c r="E91" t="s">
        <v>54</v>
      </c>
      <c r="F91" t="s">
        <v>96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97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147</v>
      </c>
      <c r="C92" t="s">
        <v>52</v>
      </c>
      <c r="D92" t="s">
        <v>148</v>
      </c>
      <c r="E92" t="s">
        <v>54</v>
      </c>
      <c r="F92" t="s">
        <v>55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56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147</v>
      </c>
      <c r="C93" t="s">
        <v>52</v>
      </c>
      <c r="D93" t="s">
        <v>148</v>
      </c>
      <c r="E93" t="s">
        <v>54</v>
      </c>
      <c r="F93" t="s">
        <v>57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58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149</v>
      </c>
      <c r="C94" t="s">
        <v>52</v>
      </c>
      <c r="D94" t="s">
        <v>150</v>
      </c>
      <c r="E94" t="s">
        <v>95</v>
      </c>
      <c r="F94" t="s">
        <v>55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56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149</v>
      </c>
      <c r="C95" t="s">
        <v>52</v>
      </c>
      <c r="D95" t="s">
        <v>150</v>
      </c>
      <c r="E95" t="s">
        <v>95</v>
      </c>
      <c r="F95" t="s">
        <v>57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58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151</v>
      </c>
      <c r="C96" t="s">
        <v>52</v>
      </c>
      <c r="D96" t="s">
        <v>152</v>
      </c>
      <c r="E96" t="s">
        <v>98</v>
      </c>
      <c r="F96" t="s">
        <v>55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56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151</v>
      </c>
      <c r="C97" t="s">
        <v>52</v>
      </c>
      <c r="D97" t="s">
        <v>152</v>
      </c>
      <c r="E97" t="s">
        <v>98</v>
      </c>
      <c r="F97" t="s">
        <v>57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58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153</v>
      </c>
      <c r="C98" t="s">
        <v>52</v>
      </c>
      <c r="D98" t="s">
        <v>154</v>
      </c>
      <c r="E98" t="s">
        <v>61</v>
      </c>
      <c r="F98" t="s">
        <v>96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97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153</v>
      </c>
      <c r="C99" t="s">
        <v>52</v>
      </c>
      <c r="D99" t="s">
        <v>154</v>
      </c>
      <c r="E99" t="s">
        <v>61</v>
      </c>
      <c r="F99" t="s">
        <v>55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56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153</v>
      </c>
      <c r="C100" t="s">
        <v>52</v>
      </c>
      <c r="D100" t="s">
        <v>154</v>
      </c>
      <c r="E100" t="s">
        <v>61</v>
      </c>
      <c r="F100" t="s">
        <v>57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58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155</v>
      </c>
      <c r="C101" t="s">
        <v>52</v>
      </c>
      <c r="D101" t="s">
        <v>156</v>
      </c>
      <c r="E101" t="s">
        <v>98</v>
      </c>
      <c r="F101" t="s">
        <v>55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56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155</v>
      </c>
      <c r="C102" t="s">
        <v>52</v>
      </c>
      <c r="D102" t="s">
        <v>156</v>
      </c>
      <c r="E102" t="s">
        <v>98</v>
      </c>
      <c r="F102" t="s">
        <v>57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58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157</v>
      </c>
      <c r="C103" t="s">
        <v>52</v>
      </c>
      <c r="D103" t="s">
        <v>158</v>
      </c>
      <c r="E103" t="s">
        <v>54</v>
      </c>
      <c r="F103" t="s">
        <v>96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97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157</v>
      </c>
      <c r="C104" t="s">
        <v>52</v>
      </c>
      <c r="D104" t="s">
        <v>158</v>
      </c>
      <c r="E104" t="s">
        <v>54</v>
      </c>
      <c r="F104" t="s">
        <v>55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56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157</v>
      </c>
      <c r="C105" t="s">
        <v>52</v>
      </c>
      <c r="D105" t="s">
        <v>158</v>
      </c>
      <c r="E105" t="s">
        <v>54</v>
      </c>
      <c r="F105" t="s">
        <v>57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58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159</v>
      </c>
      <c r="C106" t="s">
        <v>52</v>
      </c>
      <c r="D106" t="s">
        <v>160</v>
      </c>
      <c r="E106" t="s">
        <v>98</v>
      </c>
      <c r="F106" t="s">
        <v>55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56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159</v>
      </c>
      <c r="C107" t="s">
        <v>52</v>
      </c>
      <c r="D107" t="s">
        <v>160</v>
      </c>
      <c r="E107" t="s">
        <v>98</v>
      </c>
      <c r="F107" t="s">
        <v>57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58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161</v>
      </c>
      <c r="C108" t="s">
        <v>52</v>
      </c>
      <c r="D108" t="s">
        <v>162</v>
      </c>
      <c r="E108" t="s">
        <v>95</v>
      </c>
      <c r="F108" t="s">
        <v>55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56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161</v>
      </c>
      <c r="C109" t="s">
        <v>52</v>
      </c>
      <c r="D109" t="s">
        <v>162</v>
      </c>
      <c r="E109" t="s">
        <v>95</v>
      </c>
      <c r="F109" t="s">
        <v>57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58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Bolt in a Tapped Hole</vt:lpstr>
      <vt:lpstr>Manual Bolt Geometry</vt:lpstr>
      <vt:lpstr>ASME B1.1-2003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 Sparks</cp:lastModifiedBy>
  <dcterms:created xsi:type="dcterms:W3CDTF">2022-02-04T03:34:42Z</dcterms:created>
  <dcterms:modified xsi:type="dcterms:W3CDTF">2022-02-23T04:01:16Z</dcterms:modified>
</cp:coreProperties>
</file>