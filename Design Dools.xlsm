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EB926F0F-7BDC-42BD-B974-161DA82FFB74}" xr6:coauthVersionLast="47" xr6:coauthVersionMax="47" xr10:uidLastSave="{00000000-0000-0000-0000-000000000000}"/>
  <bookViews>
    <workbookView xWindow="-120" yWindow="-120" windowWidth="38640" windowHeight="21240" activeTab="1" xr2:uid="{6F0B30F9-4582-4E2D-A35A-950F4E72D355}"/>
  </bookViews>
  <sheets>
    <sheet name="Bolt in a Tapped Hole" sheetId="1" r:id="rId1"/>
    <sheet name="ASME B1.1-2003 Dimens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I3" i="1" l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<sst xmlns="http://schemas.openxmlformats.org/spreadsheetml/2006/main" count="269" uniqueCount="95">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</sst>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F31" sqref="F31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cm="1">
        <f t="array" ref="I3">SocketHeadCapScrewGeometry(B3:D3)</f>
        <v>0.25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T27"/>
  <sheetViews>
    <sheetView tabSelected="1" workbookViewId="0">
      <selection activeCell="M5" sqref="M5"/>
    </sheetView>
  </sheetViews>
  <sheetFormatPr defaultRowHeight="15" x14ac:dyDescent="0.25"/>
  <cols>
    <col min="1" max="2" width="26.855468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18.5703125" bestFit="1" customWidth="1"/>
    <col min="11" max="11" width="18.28515625" bestFit="1" customWidth="1"/>
    <col min="12" max="12" width="23.7109375" bestFit="1" customWidth="1"/>
    <col min="13" max="13" width="24.42578125" bestFit="1" customWidth="1"/>
    <col min="14" max="14" width="19.7109375" bestFit="1" customWidth="1"/>
    <col min="15" max="15" width="19.140625" bestFit="1" customWidth="1"/>
    <col min="16" max="16" width="19.42578125" bestFit="1" customWidth="1"/>
    <col min="17" max="17" width="18.28515625" bestFit="1" customWidth="1"/>
    <col min="18" max="18" width="18.5703125" bestFit="1" customWidth="1"/>
    <col min="19" max="19" width="23.7109375" bestFit="1" customWidth="1"/>
    <col min="20" max="20" width="19" bestFit="1" customWidth="1"/>
  </cols>
  <sheetData>
    <row r="1" spans="1:20" x14ac:dyDescent="0.25">
      <c r="A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89</v>
      </c>
      <c r="R1" t="s">
        <v>88</v>
      </c>
      <c r="S1" t="s">
        <v>90</v>
      </c>
      <c r="T1" t="s">
        <v>87</v>
      </c>
    </row>
    <row r="2" spans="1:20" x14ac:dyDescent="0.25">
      <c r="A2" t="str">
        <f>_xlfn.CONCAT(B2," ",C2," ",D2," ",E2," ",F2)</f>
        <v>0–80 or 0.060–80 UNF 2A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5.1400000000000001E-2</v>
      </c>
      <c r="K2">
        <v>4.9599999999999998E-2</v>
      </c>
      <c r="L2">
        <v>1.7619999999999999E-3</v>
      </c>
      <c r="M2">
        <v>4.4600000000000001E-2</v>
      </c>
      <c r="N2" t="s">
        <v>56</v>
      </c>
      <c r="O2">
        <v>4.65E-2</v>
      </c>
      <c r="P2">
        <v>5.1400000000000001E-2</v>
      </c>
      <c r="Q2">
        <v>5.1900000000000002E-2</v>
      </c>
      <c r="R2">
        <v>5.4199999999999998E-2</v>
      </c>
      <c r="S2">
        <v>2.3E-3</v>
      </c>
      <c r="T2">
        <v>0.06</v>
      </c>
    </row>
    <row r="3" spans="1:20" x14ac:dyDescent="0.25">
      <c r="A3" t="str">
        <f>_xlfn.CONCAT(B3," ",C3," ",D3," ",E3," ",F3)</f>
        <v>0–80 or 0.060–80 UNF 3A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5.1900000000000002E-2</v>
      </c>
      <c r="K3">
        <v>5.0599999999999999E-2</v>
      </c>
      <c r="L3">
        <v>1.2999999999999999E-3</v>
      </c>
      <c r="M3">
        <v>4.5100000000000001E-2</v>
      </c>
      <c r="N3" t="s">
        <v>58</v>
      </c>
      <c r="O3">
        <v>4.65E-2</v>
      </c>
      <c r="P3">
        <v>5.1400000000000001E-2</v>
      </c>
      <c r="Q3">
        <v>5.1900000000000002E-2</v>
      </c>
      <c r="R3">
        <v>5.3600000000000002E-2</v>
      </c>
      <c r="S3">
        <v>1.6999999999999999E-3</v>
      </c>
      <c r="T3">
        <v>0.06</v>
      </c>
    </row>
    <row r="4" spans="1:20" x14ac:dyDescent="0.25">
      <c r="A4" t="str">
        <f>_xlfn.CONCAT(B4," ",C4," ",D4," ",E4," ",F4)</f>
        <v>1–64 or 0.073–64 UNC 2A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6.2300000000000001E-2</v>
      </c>
      <c r="K4">
        <v>6.0299999999999999E-2</v>
      </c>
      <c r="L4">
        <v>1.97E-3</v>
      </c>
      <c r="M4">
        <v>5.3800000000000001E-2</v>
      </c>
      <c r="N4" t="s">
        <v>56</v>
      </c>
      <c r="O4">
        <v>5.6099999999999997E-2</v>
      </c>
      <c r="P4">
        <v>6.2199999999999998E-2</v>
      </c>
      <c r="Q4">
        <v>6.2899999999999998E-2</v>
      </c>
      <c r="R4">
        <v>6.5500000000000003E-2</v>
      </c>
      <c r="S4">
        <v>2.5999999999999999E-3</v>
      </c>
      <c r="T4">
        <v>7.2999999999999995E-2</v>
      </c>
    </row>
    <row r="5" spans="1:20" x14ac:dyDescent="0.25">
      <c r="A5" t="str">
        <f>_xlfn.CONCAT(B5," ",C5," ",D5," ",E5," ",F5)</f>
        <v>1–64 or 0.073–64 UNC 3A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6.2899999999999998E-2</v>
      </c>
      <c r="K5">
        <v>6.1400000000000003E-2</v>
      </c>
      <c r="L5">
        <v>1.5E-3</v>
      </c>
      <c r="M5">
        <v>5.4399999999999997E-2</v>
      </c>
      <c r="N5" t="s">
        <v>58</v>
      </c>
      <c r="O5">
        <v>5.6099999999999997E-2</v>
      </c>
      <c r="P5">
        <v>6.2199999999999998E-2</v>
      </c>
      <c r="Q5">
        <v>6.2899999999999998E-2</v>
      </c>
      <c r="R5">
        <v>6.4799999999999996E-2</v>
      </c>
      <c r="S5">
        <v>1.9E-3</v>
      </c>
      <c r="T5">
        <v>7.2999999999999995E-2</v>
      </c>
    </row>
    <row r="6" spans="1:20" x14ac:dyDescent="0.25">
      <c r="A6" t="str">
        <f>_xlfn.CONCAT(B6," ",C6," ",D6," ",E6," ",F6)</f>
        <v>1–72 or 0.073–72 UNF 2A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6.3399999999999998E-2</v>
      </c>
      <c r="K6">
        <v>6.1499999999999999E-2</v>
      </c>
      <c r="L6">
        <v>1.8990000000000001E-3</v>
      </c>
      <c r="M6">
        <v>5.5899999999999998E-2</v>
      </c>
      <c r="N6" t="s">
        <v>56</v>
      </c>
      <c r="O6">
        <v>5.8000000000000003E-2</v>
      </c>
      <c r="P6">
        <v>6.3399999999999998E-2</v>
      </c>
      <c r="Q6">
        <v>6.4000000000000001E-2</v>
      </c>
      <c r="R6">
        <v>6.6500000000000004E-2</v>
      </c>
      <c r="S6">
        <v>2.5000000000000001E-3</v>
      </c>
      <c r="T6">
        <v>7.2999999999999995E-2</v>
      </c>
    </row>
    <row r="7" spans="1:20" x14ac:dyDescent="0.25">
      <c r="A7" t="str">
        <f>_xlfn.CONCAT(B7," ",C7," ",D7," ",E7," ",F7)</f>
        <v>1–72 or 0.073–72 UNF 3A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6.4000000000000001E-2</v>
      </c>
      <c r="K7">
        <v>6.2600000000000003E-2</v>
      </c>
      <c r="L7">
        <v>1.4E-3</v>
      </c>
      <c r="M7">
        <v>5.6500000000000002E-2</v>
      </c>
      <c r="N7" t="s">
        <v>58</v>
      </c>
      <c r="O7">
        <v>5.8000000000000003E-2</v>
      </c>
      <c r="P7">
        <v>6.3399999999999998E-2</v>
      </c>
      <c r="Q7">
        <v>6.4000000000000001E-2</v>
      </c>
      <c r="R7">
        <v>6.59E-2</v>
      </c>
      <c r="S7">
        <v>1.9E-3</v>
      </c>
      <c r="T7">
        <v>7.2999999999999995E-2</v>
      </c>
    </row>
    <row r="8" spans="1:20" x14ac:dyDescent="0.25">
      <c r="A8" t="str">
        <f>_xlfn.CONCAT(B8," ",C8," ",D8," ",E8," ",F8)</f>
        <v>2–56 or 0.086–56 UNC 2A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7.3800000000000004E-2</v>
      </c>
      <c r="K8">
        <v>7.17E-2</v>
      </c>
      <c r="L8">
        <v>2.127E-3</v>
      </c>
      <c r="M8">
        <v>6.4100000000000004E-2</v>
      </c>
      <c r="N8" t="s">
        <v>56</v>
      </c>
      <c r="O8">
        <v>6.6699999999999995E-2</v>
      </c>
      <c r="P8">
        <v>7.3700000000000002E-2</v>
      </c>
      <c r="Q8">
        <v>7.4399999999999994E-2</v>
      </c>
      <c r="R8">
        <v>7.7200000000000005E-2</v>
      </c>
      <c r="S8">
        <v>2.8E-3</v>
      </c>
      <c r="T8">
        <v>8.5999999999999993E-2</v>
      </c>
    </row>
    <row r="9" spans="1:20" x14ac:dyDescent="0.25">
      <c r="A9" t="str">
        <f>_xlfn.CONCAT(B9," ",C9," ",D9," ",E9," ",F9)</f>
        <v>2–56 or 0.086–56 UNC 3A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7.4399999999999994E-2</v>
      </c>
      <c r="K9">
        <v>7.2800000000000004E-2</v>
      </c>
      <c r="L9">
        <v>1.6000000000000001E-3</v>
      </c>
      <c r="M9">
        <v>6.4699999999999994E-2</v>
      </c>
      <c r="N9" t="s">
        <v>58</v>
      </c>
      <c r="O9">
        <v>6.6699999999999995E-2</v>
      </c>
      <c r="P9">
        <v>7.3700000000000002E-2</v>
      </c>
      <c r="Q9">
        <v>7.4399999999999994E-2</v>
      </c>
      <c r="R9">
        <v>7.6499999999999999E-2</v>
      </c>
      <c r="S9">
        <v>2.0999999999999999E-3</v>
      </c>
      <c r="T9">
        <v>8.5999999999999993E-2</v>
      </c>
    </row>
    <row r="10" spans="1:20" x14ac:dyDescent="0.25">
      <c r="A10" t="str">
        <f>_xlfn.CONCAT(B10," ",C10," ",D10," ",E10," ",F10)</f>
        <v>2–64 or 0.086–64 UNF 2A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7.5300000000000006E-2</v>
      </c>
      <c r="K10">
        <v>7.3300000000000004E-2</v>
      </c>
      <c r="L10">
        <v>2.0400000000000001E-3</v>
      </c>
      <c r="M10">
        <v>6.6799999999999998E-2</v>
      </c>
      <c r="N10" t="s">
        <v>56</v>
      </c>
      <c r="O10">
        <v>6.9099999999999995E-2</v>
      </c>
      <c r="P10">
        <v>7.5200000000000003E-2</v>
      </c>
      <c r="Q10">
        <v>7.5899999999999995E-2</v>
      </c>
      <c r="R10">
        <v>7.8600000000000003E-2</v>
      </c>
      <c r="S10">
        <v>2.7000000000000001E-3</v>
      </c>
      <c r="T10">
        <v>8.5999999999999993E-2</v>
      </c>
    </row>
    <row r="11" spans="1:20" x14ac:dyDescent="0.25">
      <c r="A11" t="str">
        <f>_xlfn.CONCAT(B11," ",C11," ",D11," ",E11," ",F11)</f>
        <v>2–64 or 0.086–64 UNF 3A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7.5899999999999995E-2</v>
      </c>
      <c r="K11">
        <v>7.4399999999999994E-2</v>
      </c>
      <c r="L11">
        <v>1.5E-3</v>
      </c>
      <c r="M11">
        <v>6.7400000000000002E-2</v>
      </c>
      <c r="N11" t="s">
        <v>58</v>
      </c>
      <c r="O11">
        <v>6.9099999999999995E-2</v>
      </c>
      <c r="P11">
        <v>7.5200000000000003E-2</v>
      </c>
      <c r="Q11">
        <v>7.5899999999999995E-2</v>
      </c>
      <c r="R11">
        <v>7.7899999999999997E-2</v>
      </c>
      <c r="S11">
        <v>2E-3</v>
      </c>
      <c r="T11">
        <v>8.5999999999999993E-2</v>
      </c>
    </row>
    <row r="12" spans="1:20" x14ac:dyDescent="0.25">
      <c r="A12" t="str">
        <f>_xlfn.CONCAT(B12," ",C12," ",D12," ",E12," ",F12)</f>
        <v>3–48 or 0.099–48 UNC 2A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8.48E-2</v>
      </c>
      <c r="K12">
        <v>8.2500000000000004E-2</v>
      </c>
      <c r="L12">
        <v>2.3019999999999998E-3</v>
      </c>
      <c r="M12">
        <v>7.3499999999999996E-2</v>
      </c>
      <c r="N12" t="s">
        <v>56</v>
      </c>
      <c r="O12">
        <v>7.6399999999999996E-2</v>
      </c>
      <c r="P12">
        <v>8.4500000000000006E-2</v>
      </c>
      <c r="Q12">
        <v>8.5500000000000007E-2</v>
      </c>
      <c r="R12">
        <v>8.8499999999999995E-2</v>
      </c>
      <c r="S12">
        <v>3.0000000000000001E-3</v>
      </c>
      <c r="T12">
        <v>9.9000000000000005E-2</v>
      </c>
    </row>
    <row r="13" spans="1:20" x14ac:dyDescent="0.25">
      <c r="A13" t="str">
        <f>_xlfn.CONCAT(B13," ",C13," ",D13," ",E13," ",F13)</f>
        <v>3–48 or 0.099–48 UNC 3A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8.5500000000000007E-2</v>
      </c>
      <c r="K13">
        <v>8.3799999999999999E-2</v>
      </c>
      <c r="L13">
        <v>1.6999999999999999E-3</v>
      </c>
      <c r="M13">
        <v>7.4200000000000002E-2</v>
      </c>
      <c r="N13" t="s">
        <v>58</v>
      </c>
      <c r="O13">
        <v>7.6399999999999996E-2</v>
      </c>
      <c r="P13">
        <v>8.4500000000000006E-2</v>
      </c>
      <c r="Q13">
        <v>8.5500000000000007E-2</v>
      </c>
      <c r="R13">
        <v>8.77E-2</v>
      </c>
      <c r="S13">
        <v>2.2000000000000001E-3</v>
      </c>
      <c r="T13">
        <v>9.9000000000000005E-2</v>
      </c>
    </row>
    <row r="14" spans="1:20" x14ac:dyDescent="0.25">
      <c r="A14" t="str">
        <f>_xlfn.CONCAT(B14," ",C14," ",D14," ",E14," ",F14)</f>
        <v>3–56 or 0.099–56 UNF 2A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8.6699999999999999E-2</v>
      </c>
      <c r="K14">
        <v>8.4500000000000006E-2</v>
      </c>
      <c r="L14">
        <v>2.1909999999999998E-3</v>
      </c>
      <c r="M14">
        <v>7.6999999999999999E-2</v>
      </c>
      <c r="N14" t="s">
        <v>56</v>
      </c>
      <c r="O14">
        <v>7.9699999999999993E-2</v>
      </c>
      <c r="P14">
        <v>8.6499999999999994E-2</v>
      </c>
      <c r="Q14">
        <v>8.7400000000000005E-2</v>
      </c>
      <c r="R14">
        <v>9.0200000000000002E-2</v>
      </c>
      <c r="S14">
        <v>2.8E-3</v>
      </c>
      <c r="T14">
        <v>9.9000000000000005E-2</v>
      </c>
    </row>
    <row r="15" spans="1:20" x14ac:dyDescent="0.25">
      <c r="A15" t="str">
        <f>_xlfn.CONCAT(B15," ",C15," ",D15," ",E15," ",F15)</f>
        <v>3–56 or 0.099–56 UNF 3A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8.7400000000000005E-2</v>
      </c>
      <c r="K15">
        <v>8.5800000000000001E-2</v>
      </c>
      <c r="L15">
        <v>1.6000000000000001E-3</v>
      </c>
      <c r="M15">
        <v>7.7700000000000005E-2</v>
      </c>
      <c r="N15" t="s">
        <v>58</v>
      </c>
      <c r="O15">
        <v>7.9699999999999993E-2</v>
      </c>
      <c r="P15">
        <v>8.6499999999999994E-2</v>
      </c>
      <c r="Q15">
        <v>8.7400000000000005E-2</v>
      </c>
      <c r="R15">
        <v>8.9499999999999996E-2</v>
      </c>
      <c r="S15">
        <v>2.0999999999999999E-3</v>
      </c>
      <c r="T15">
        <v>9.9000000000000005E-2</v>
      </c>
    </row>
    <row r="16" spans="1:20" x14ac:dyDescent="0.25">
      <c r="A16" t="str">
        <f>_xlfn.CONCAT(B16," ",C16," ",D16," ",E16," ",F16)</f>
        <v>4–40 or 0.112–40 UNC 2A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9.5000000000000001E-2</v>
      </c>
      <c r="K16">
        <v>9.2499999999999999E-2</v>
      </c>
      <c r="L16">
        <v>2.5070000000000001E-3</v>
      </c>
      <c r="M16">
        <v>8.14E-2</v>
      </c>
      <c r="N16" t="s">
        <v>56</v>
      </c>
      <c r="O16">
        <v>8.4900000000000003E-2</v>
      </c>
      <c r="P16">
        <v>9.3899999999999997E-2</v>
      </c>
      <c r="Q16">
        <v>9.5799999999999996E-2</v>
      </c>
      <c r="R16">
        <v>9.9099999999999994E-2</v>
      </c>
      <c r="S16">
        <v>3.3E-3</v>
      </c>
      <c r="T16">
        <v>0.112</v>
      </c>
    </row>
    <row r="17" spans="1:20" x14ac:dyDescent="0.25">
      <c r="A17" t="str">
        <f>_xlfn.CONCAT(B17," ",C17," ",D17," ",E17," ",F17)</f>
        <v>4–40 or 0.112–40 UNC 3A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9.5799999999999996E-2</v>
      </c>
      <c r="K17">
        <v>9.3899999999999997E-2</v>
      </c>
      <c r="L17">
        <v>1.9E-3</v>
      </c>
      <c r="M17">
        <v>8.2199999999999995E-2</v>
      </c>
      <c r="N17" t="s">
        <v>58</v>
      </c>
      <c r="O17">
        <v>8.4900000000000003E-2</v>
      </c>
      <c r="P17">
        <v>9.3899999999999997E-2</v>
      </c>
      <c r="Q17">
        <v>9.5799999999999996E-2</v>
      </c>
      <c r="R17">
        <v>9.8199999999999996E-2</v>
      </c>
      <c r="S17">
        <v>2.3999999999999998E-3</v>
      </c>
      <c r="T17">
        <v>0.112</v>
      </c>
    </row>
    <row r="18" spans="1:20" x14ac:dyDescent="0.25">
      <c r="A18" t="str">
        <f>_xlfn.CONCAT(B18," ",C18," ",D18," ",E18," ",F18)</f>
        <v>4–48 or 0.112–48 UNF 2A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9.7799999999999998E-2</v>
      </c>
      <c r="K18">
        <v>9.5399999999999999E-2</v>
      </c>
      <c r="L18">
        <v>2.3609999999999998E-3</v>
      </c>
      <c r="M18">
        <v>8.6499999999999994E-2</v>
      </c>
      <c r="N18" t="s">
        <v>56</v>
      </c>
      <c r="O18">
        <v>8.9399999999999993E-2</v>
      </c>
      <c r="P18">
        <v>9.6799999999999997E-2</v>
      </c>
      <c r="Q18">
        <v>9.8500000000000004E-2</v>
      </c>
      <c r="R18">
        <v>0.1016</v>
      </c>
      <c r="S18">
        <v>3.0999999999999999E-3</v>
      </c>
      <c r="T18">
        <v>0.112</v>
      </c>
    </row>
    <row r="19" spans="1:20" x14ac:dyDescent="0.25">
      <c r="A19" t="str">
        <f>_xlfn.CONCAT(B19," ",C19," ",D19," ",E19," ",F19)</f>
        <v>4–48 or 0.112–48 UNF 3A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9.8500000000000004E-2</v>
      </c>
      <c r="K19">
        <v>9.6699999999999994E-2</v>
      </c>
      <c r="L19">
        <v>1.8E-3</v>
      </c>
      <c r="M19">
        <v>8.72E-2</v>
      </c>
      <c r="N19" t="s">
        <v>58</v>
      </c>
      <c r="O19">
        <v>8.9399999999999993E-2</v>
      </c>
      <c r="P19">
        <v>9.6799999999999997E-2</v>
      </c>
      <c r="Q19">
        <v>9.8500000000000004E-2</v>
      </c>
      <c r="R19">
        <v>0.1008</v>
      </c>
      <c r="S19">
        <v>2.3E-3</v>
      </c>
      <c r="T19">
        <v>0.112</v>
      </c>
    </row>
    <row r="20" spans="1:20" x14ac:dyDescent="0.25">
      <c r="A20" t="str">
        <f>_xlfn.CONCAT(B20," ",C20," ",D20," ",E20," ",F20)</f>
        <v>5–40 or 0.125–40 UNC 2A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0.108</v>
      </c>
      <c r="K20">
        <v>0.10539999999999999</v>
      </c>
      <c r="L20">
        <v>2.562E-3</v>
      </c>
      <c r="M20">
        <v>9.4399999999999998E-2</v>
      </c>
      <c r="N20" t="s">
        <v>56</v>
      </c>
      <c r="O20">
        <v>9.7900000000000001E-2</v>
      </c>
      <c r="P20">
        <v>0.1062</v>
      </c>
      <c r="Q20">
        <v>0.10879999999999999</v>
      </c>
      <c r="R20">
        <v>0.11210000000000001</v>
      </c>
      <c r="S20">
        <v>3.3E-3</v>
      </c>
      <c r="T20">
        <v>0.125</v>
      </c>
    </row>
    <row r="21" spans="1:20" x14ac:dyDescent="0.25">
      <c r="A21" t="str">
        <f>_xlfn.CONCAT(B21," ",C21," ",D21," ",E21," ",F21)</f>
        <v>5–40 or 0.125–40 UNC 3A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0.10879999999999999</v>
      </c>
      <c r="K21">
        <v>0.1069</v>
      </c>
      <c r="L21">
        <v>1.9E-3</v>
      </c>
      <c r="M21">
        <v>9.5200000000000007E-2</v>
      </c>
      <c r="N21" t="s">
        <v>58</v>
      </c>
      <c r="O21">
        <v>9.7900000000000001E-2</v>
      </c>
      <c r="P21">
        <v>0.1062</v>
      </c>
      <c r="Q21">
        <v>0.10879999999999999</v>
      </c>
      <c r="R21">
        <v>0.1113</v>
      </c>
      <c r="S21">
        <v>2.5000000000000001E-3</v>
      </c>
      <c r="T21">
        <v>0.125</v>
      </c>
    </row>
    <row r="22" spans="1:20" x14ac:dyDescent="0.25">
      <c r="A22" t="str">
        <f>_xlfn.CONCAT(B22," ",C22," ",D22," ",E22," ",F22)</f>
        <v>5–44 or 0.125–44 UNF 2A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0.1095</v>
      </c>
      <c r="K22">
        <v>0.107</v>
      </c>
      <c r="L22">
        <v>2.4840000000000001E-3</v>
      </c>
      <c r="M22">
        <v>9.7199999999999995E-2</v>
      </c>
      <c r="N22" t="s">
        <v>56</v>
      </c>
      <c r="O22">
        <v>0.1004</v>
      </c>
      <c r="P22">
        <v>0.1079</v>
      </c>
      <c r="Q22">
        <v>0.11020000000000001</v>
      </c>
      <c r="R22">
        <v>0.1134</v>
      </c>
      <c r="S22">
        <v>3.2000000000000002E-3</v>
      </c>
      <c r="T22">
        <v>0.125</v>
      </c>
    </row>
    <row r="23" spans="1:20" x14ac:dyDescent="0.25">
      <c r="A23" t="str">
        <f>_xlfn.CONCAT(B23," ",C23," ",D23," ",E23," ",F23)</f>
        <v>5–44 or 0.125–44 UNF 3A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0.11020000000000001</v>
      </c>
      <c r="K23">
        <v>0.10829999999999999</v>
      </c>
      <c r="L23">
        <v>1.9E-3</v>
      </c>
      <c r="M23">
        <v>9.7900000000000001E-2</v>
      </c>
      <c r="N23" t="s">
        <v>58</v>
      </c>
      <c r="O23">
        <v>0.1004</v>
      </c>
      <c r="P23">
        <v>0.1079</v>
      </c>
      <c r="Q23">
        <v>0.11020000000000001</v>
      </c>
      <c r="R23">
        <v>0.11260000000000001</v>
      </c>
      <c r="S23">
        <v>2.3999999999999998E-3</v>
      </c>
      <c r="T23">
        <v>0.125</v>
      </c>
    </row>
    <row r="24" spans="1:20" x14ac:dyDescent="0.25">
      <c r="A24" t="str">
        <f>_xlfn.CONCAT(B24," ",C24," ",D24," ",E24," ",F24)</f>
        <v>6–32 or 0.138–32 UNC 2A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0.1169</v>
      </c>
      <c r="K24">
        <v>0.11409999999999999</v>
      </c>
      <c r="L24">
        <v>2.82E-3</v>
      </c>
      <c r="M24">
        <v>0.1</v>
      </c>
      <c r="N24" t="s">
        <v>56</v>
      </c>
      <c r="O24">
        <v>0.104</v>
      </c>
      <c r="P24">
        <v>0.114</v>
      </c>
      <c r="Q24">
        <v>0.1177</v>
      </c>
      <c r="R24">
        <v>0.12139999999999999</v>
      </c>
      <c r="S24">
        <v>3.7000000000000002E-3</v>
      </c>
      <c r="T24">
        <v>0.13800000000000001</v>
      </c>
    </row>
    <row r="25" spans="1:20" x14ac:dyDescent="0.25">
      <c r="A25" t="str">
        <f>_xlfn.CONCAT(B25," ",C25," ",D25," ",E25," ",F25)</f>
        <v>6–32 or 0.138–32 UNC 3A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0.1177</v>
      </c>
      <c r="K25">
        <v>0.11559999999999999</v>
      </c>
      <c r="L25">
        <v>2.0999999999999999E-3</v>
      </c>
      <c r="M25">
        <v>0.1008</v>
      </c>
      <c r="N25" t="s">
        <v>58</v>
      </c>
      <c r="O25">
        <v>0.104</v>
      </c>
      <c r="P25">
        <v>0.1139</v>
      </c>
      <c r="Q25">
        <v>0.1177</v>
      </c>
      <c r="R25">
        <v>0.12039999999999999</v>
      </c>
      <c r="S25">
        <v>2.7000000000000001E-3</v>
      </c>
      <c r="T25">
        <v>0.13800000000000001</v>
      </c>
    </row>
    <row r="26" spans="1:20" x14ac:dyDescent="0.25">
      <c r="A26" t="str">
        <f>_xlfn.CONCAT(B26," ",C26," ",D26," ",E26," ",F26)</f>
        <v>6–40 or 0.138–40 UNF 2A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0.121</v>
      </c>
      <c r="K26">
        <v>0.11840000000000001</v>
      </c>
      <c r="L26">
        <v>2.614E-3</v>
      </c>
      <c r="M26">
        <v>0.1074</v>
      </c>
      <c r="N26" t="s">
        <v>56</v>
      </c>
      <c r="O26">
        <v>0.111</v>
      </c>
      <c r="P26">
        <v>0.11899999999999999</v>
      </c>
      <c r="Q26">
        <v>0.12180000000000001</v>
      </c>
      <c r="R26">
        <v>0.12520000000000001</v>
      </c>
      <c r="S26">
        <v>3.3999999999999998E-3</v>
      </c>
      <c r="T26">
        <v>0.13800000000000001</v>
      </c>
    </row>
    <row r="27" spans="1:20" x14ac:dyDescent="0.25">
      <c r="A27" t="str">
        <f>_xlfn.CONCAT(B27," ",C27," ",D27," ",E27," ",F27)</f>
        <v>6–40 or 0.138–40 UNF 3A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0.12180000000000001</v>
      </c>
      <c r="K27">
        <v>0.1198</v>
      </c>
      <c r="L27">
        <v>2E-3</v>
      </c>
      <c r="M27">
        <v>0.1082</v>
      </c>
      <c r="N27" t="s">
        <v>58</v>
      </c>
      <c r="O27">
        <v>0.111</v>
      </c>
      <c r="P27">
        <v>0.1186</v>
      </c>
      <c r="Q27">
        <v>0.12180000000000001</v>
      </c>
      <c r="R27">
        <v>0.12429999999999999</v>
      </c>
      <c r="S27">
        <v>2.5000000000000001E-3</v>
      </c>
      <c r="T27">
        <v>0.13800000000000001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Bolt in a Tapped Hole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2022-02-13T03:19:29Z</dcterms:modified>
</cp:coreProperties>
</file>