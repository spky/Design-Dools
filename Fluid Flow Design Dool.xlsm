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orge\Documents\trunk\Projects\Design Dools\Design-Dools\"/>
    </mc:Choice>
  </mc:AlternateContent>
  <xr:revisionPtr revIDLastSave="0" documentId="13_ncr:1_{080C3631-D686-4661-90E9-29EF500047C6}" xr6:coauthVersionLast="47" xr6:coauthVersionMax="47" xr10:uidLastSave="{00000000-0000-0000-0000-000000000000}"/>
  <bookViews>
    <workbookView xWindow="-120" yWindow="-120" windowWidth="38640" windowHeight="21240" activeTab="2" xr2:uid="{1C68F3C9-BACF-4AE3-9327-A04E9D6F2DE9}"/>
  </bookViews>
  <sheets>
    <sheet name="No-Dependencies" sheetId="1" r:id="rId1"/>
    <sheet name="GD&amp;T" sheetId="4" r:id="rId2"/>
    <sheet name="Bolt Calculator" sheetId="5" r:id="rId3"/>
    <sheet name="Unit Lists" sheetId="2" r:id="rId4"/>
    <sheet name="Cool-Prop-Dependent" sheetId="3" r:id="rId5"/>
    <sheet name="ASME B1.1-2003 Dimensions" sheetId="6" r:id="rId6"/>
    <sheet name="NAS1352 Dimensions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5" l="1"/>
  <c r="F4" i="5"/>
  <c r="O12" i="5" a="1"/>
  <c r="O12" i="5" l="1"/>
  <c r="V158" i="7" l="1" a="1"/>
  <c r="V158" i="7" s="1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L111" i="7" s="1" a="1"/>
  <c r="L111" i="7" s="1"/>
  <c r="B112" i="7"/>
  <c r="B113" i="7"/>
  <c r="B114" i="7"/>
  <c r="B115" i="7"/>
  <c r="B116" i="7"/>
  <c r="T116" i="7" s="1" a="1"/>
  <c r="T116" i="7" s="1"/>
  <c r="B117" i="7"/>
  <c r="B118" i="7"/>
  <c r="B119" i="7"/>
  <c r="B120" i="7"/>
  <c r="B121" i="7"/>
  <c r="B122" i="7"/>
  <c r="S122" i="7" s="1" a="1"/>
  <c r="S122" i="7" s="1"/>
  <c r="B123" i="7"/>
  <c r="B124" i="7"/>
  <c r="B125" i="7"/>
  <c r="B126" i="7"/>
  <c r="B127" i="7"/>
  <c r="R127" i="7" s="1" a="1"/>
  <c r="R127" i="7" s="1"/>
  <c r="B128" i="7"/>
  <c r="G128" i="7" s="1" a="1"/>
  <c r="G128" i="7" s="1"/>
  <c r="B129" i="7"/>
  <c r="B130" i="7"/>
  <c r="B131" i="7"/>
  <c r="B132" i="7"/>
  <c r="O132" i="7" s="1" a="1"/>
  <c r="O132" i="7" s="1"/>
  <c r="B133" i="7"/>
  <c r="B134" i="7"/>
  <c r="B135" i="7"/>
  <c r="H135" i="7" s="1" a="1"/>
  <c r="H135" i="7" s="1"/>
  <c r="B136" i="7"/>
  <c r="G136" i="7" s="1" a="1"/>
  <c r="G136" i="7" s="1"/>
  <c r="B137" i="7"/>
  <c r="B138" i="7"/>
  <c r="U138" i="7" s="1" a="1"/>
  <c r="U138" i="7" s="1"/>
  <c r="B139" i="7"/>
  <c r="N139" i="7" s="1" a="1"/>
  <c r="N139" i="7" s="1"/>
  <c r="B140" i="7"/>
  <c r="H140" i="7" s="1" a="1"/>
  <c r="H140" i="7" s="1"/>
  <c r="B141" i="7"/>
  <c r="B142" i="7"/>
  <c r="B143" i="7"/>
  <c r="B144" i="7"/>
  <c r="H144" i="7" s="1" a="1"/>
  <c r="H144" i="7" s="1"/>
  <c r="B145" i="7"/>
  <c r="B146" i="7"/>
  <c r="D146" i="7" s="1" a="1"/>
  <c r="D146" i="7" s="1"/>
  <c r="B147" i="7"/>
  <c r="I147" i="7" s="1" a="1"/>
  <c r="I147" i="7" s="1"/>
  <c r="B148" i="7"/>
  <c r="M148" i="7" s="1" a="1"/>
  <c r="M148" i="7" s="1"/>
  <c r="B149" i="7"/>
  <c r="B150" i="7"/>
  <c r="R150" i="7" s="1" a="1"/>
  <c r="R150" i="7" s="1"/>
  <c r="B151" i="7"/>
  <c r="F151" i="7" s="1" a="1"/>
  <c r="F151" i="7" s="1"/>
  <c r="B152" i="7"/>
  <c r="B153" i="7"/>
  <c r="T153" i="7" s="1" a="1"/>
  <c r="T153" i="7" s="1"/>
  <c r="B154" i="7"/>
  <c r="I154" i="7" s="1" a="1"/>
  <c r="I154" i="7" s="1"/>
  <c r="B155" i="7"/>
  <c r="B156" i="7"/>
  <c r="E156" i="7" s="1" a="1"/>
  <c r="E156" i="7" s="1"/>
  <c r="B157" i="7"/>
  <c r="B158" i="7"/>
  <c r="H158" i="7" s="1" a="1"/>
  <c r="H158" i="7" s="1"/>
  <c r="B159" i="7"/>
  <c r="Q159" i="7" s="1" a="1"/>
  <c r="Q159" i="7" s="1"/>
  <c r="B160" i="7"/>
  <c r="E160" i="7" s="1" a="1"/>
  <c r="E160" i="7" s="1"/>
  <c r="B161" i="7"/>
  <c r="I161" i="7" s="1" a="1"/>
  <c r="I161" i="7" s="1"/>
  <c r="B162" i="7"/>
  <c r="M162" i="7" s="1" a="1"/>
  <c r="M162" i="7" s="1"/>
  <c r="B163" i="7"/>
  <c r="I163" i="7" s="1" a="1"/>
  <c r="I163" i="7" s="1"/>
  <c r="B164" i="7"/>
  <c r="M164" i="7" s="1" a="1"/>
  <c r="M164" i="7" s="1"/>
  <c r="B165" i="7"/>
  <c r="B166" i="7"/>
  <c r="I166" i="7" s="1" a="1"/>
  <c r="I166" i="7" s="1"/>
  <c r="B167" i="7"/>
  <c r="B168" i="7"/>
  <c r="D168" i="7" s="1" a="1"/>
  <c r="D168" i="7" s="1"/>
  <c r="B169" i="7"/>
  <c r="D169" i="7" s="1" a="1"/>
  <c r="D169" i="7" s="1"/>
  <c r="B170" i="7"/>
  <c r="D170" i="7" s="1" a="1"/>
  <c r="D170" i="7" s="1"/>
  <c r="B171" i="7"/>
  <c r="P171" i="7" s="1" a="1"/>
  <c r="P171" i="7" s="1"/>
  <c r="B172" i="7"/>
  <c r="D172" i="7" s="1" a="1"/>
  <c r="D172" i="7" s="1"/>
  <c r="B23" i="7"/>
  <c r="M23" i="7" s="1" a="1"/>
  <c r="M23" i="7" s="1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23" i="7"/>
  <c r="B11" i="5" a="1"/>
  <c r="B34" i="5" a="1"/>
  <c r="B23" i="5" a="1"/>
  <c r="B16" i="5" a="1"/>
  <c r="B15" i="5" a="1"/>
  <c r="B2" i="5" a="1"/>
  <c r="F21" i="7" a="1"/>
  <c r="K13" i="5" a="1"/>
  <c r="B11" i="5" l="1"/>
  <c r="B13" i="5" s="1"/>
  <c r="B34" i="5"/>
  <c r="B23" i="5"/>
  <c r="B16" i="5"/>
  <c r="B15" i="5"/>
  <c r="B2" i="5"/>
  <c r="F21" i="7"/>
  <c r="W172" i="7" a="1"/>
  <c r="W172" i="7" s="1"/>
  <c r="J154" i="7" a="1"/>
  <c r="J154" i="7" s="1"/>
  <c r="Q172" i="7" a="1"/>
  <c r="Q172" i="7" s="1"/>
  <c r="L171" i="7" a="1"/>
  <c r="L171" i="7" s="1"/>
  <c r="O151" i="7" a="1"/>
  <c r="O151" i="7" s="1"/>
  <c r="F171" i="7" a="1"/>
  <c r="F171" i="7" s="1"/>
  <c r="J168" i="7" a="1"/>
  <c r="J168" i="7" s="1"/>
  <c r="V144" i="7" a="1"/>
  <c r="V144" i="7" s="1"/>
  <c r="Q166" i="7" a="1"/>
  <c r="Q166" i="7" s="1"/>
  <c r="W140" i="7" a="1"/>
  <c r="W140" i="7" s="1"/>
  <c r="U164" i="7" a="1"/>
  <c r="U164" i="7" s="1"/>
  <c r="V140" i="7" a="1"/>
  <c r="V140" i="7" s="1"/>
  <c r="W158" i="7" a="1"/>
  <c r="W158" i="7" s="1"/>
  <c r="E133" i="7" a="1"/>
  <c r="E133" i="7" s="1"/>
  <c r="P133" i="7" a="1"/>
  <c r="P133" i="7" s="1"/>
  <c r="F133" i="7" a="1"/>
  <c r="F133" i="7" s="1"/>
  <c r="G133" i="7" a="1"/>
  <c r="G133" i="7" s="1"/>
  <c r="Q133" i="7" a="1"/>
  <c r="Q133" i="7" s="1"/>
  <c r="H133" i="7" a="1"/>
  <c r="H133" i="7" s="1"/>
  <c r="R133" i="7" a="1"/>
  <c r="R133" i="7" s="1"/>
  <c r="I133" i="7" a="1"/>
  <c r="I133" i="7" s="1"/>
  <c r="S133" i="7" a="1"/>
  <c r="S133" i="7" s="1"/>
  <c r="J133" i="7" a="1"/>
  <c r="J133" i="7" s="1"/>
  <c r="T133" i="7" a="1"/>
  <c r="T133" i="7" s="1"/>
  <c r="K133" i="7" a="1"/>
  <c r="K133" i="7" s="1"/>
  <c r="U133" i="7" a="1"/>
  <c r="U133" i="7" s="1"/>
  <c r="D133" i="7" a="1"/>
  <c r="D133" i="7" s="1"/>
  <c r="L133" i="7" a="1"/>
  <c r="L133" i="7" s="1"/>
  <c r="M133" i="7" a="1"/>
  <c r="M133" i="7" s="1"/>
  <c r="N133" i="7" a="1"/>
  <c r="N133" i="7" s="1"/>
  <c r="O133" i="7" a="1"/>
  <c r="O133" i="7" s="1"/>
  <c r="F108" i="7" a="1"/>
  <c r="F108" i="7" s="1"/>
  <c r="P108" i="7" a="1"/>
  <c r="P108" i="7" s="1"/>
  <c r="I108" i="7" a="1"/>
  <c r="I108" i="7" s="1"/>
  <c r="J108" i="7" a="1"/>
  <c r="J108" i="7" s="1"/>
  <c r="R108" i="7" a="1"/>
  <c r="R108" i="7" s="1"/>
  <c r="L108" i="7" a="1"/>
  <c r="L108" i="7" s="1"/>
  <c r="M108" i="7" a="1"/>
  <c r="M108" i="7" s="1"/>
  <c r="V108" i="7" a="1"/>
  <c r="V108" i="7" s="1"/>
  <c r="W108" i="7" a="1"/>
  <c r="W108" i="7" s="1"/>
  <c r="N108" i="7" a="1"/>
  <c r="N108" i="7" s="1"/>
  <c r="D108" i="7" a="1"/>
  <c r="D108" i="7" s="1"/>
  <c r="O108" i="7" a="1"/>
  <c r="O108" i="7" s="1"/>
  <c r="E108" i="7" a="1"/>
  <c r="E108" i="7" s="1"/>
  <c r="Q108" i="7" a="1"/>
  <c r="Q108" i="7" s="1"/>
  <c r="G108" i="7" a="1"/>
  <c r="G108" i="7" s="1"/>
  <c r="S108" i="7" a="1"/>
  <c r="S108" i="7" s="1"/>
  <c r="H108" i="7" a="1"/>
  <c r="H108" i="7" s="1"/>
  <c r="T108" i="7" a="1"/>
  <c r="T108" i="7" s="1"/>
  <c r="K108" i="7" a="1"/>
  <c r="K108" i="7" s="1"/>
  <c r="U108" i="7" a="1"/>
  <c r="U108" i="7" s="1"/>
  <c r="P167" i="7" a="1"/>
  <c r="P167" i="7" s="1"/>
  <c r="H167" i="7" a="1"/>
  <c r="H167" i="7" s="1"/>
  <c r="Q167" i="7" a="1"/>
  <c r="Q167" i="7" s="1"/>
  <c r="I167" i="7" a="1"/>
  <c r="I167" i="7" s="1"/>
  <c r="R167" i="7" a="1"/>
  <c r="R167" i="7" s="1"/>
  <c r="S167" i="7" a="1"/>
  <c r="S167" i="7" s="1"/>
  <c r="J167" i="7" a="1"/>
  <c r="J167" i="7" s="1"/>
  <c r="K167" i="7" a="1"/>
  <c r="K167" i="7" s="1"/>
  <c r="T167" i="7" a="1"/>
  <c r="T167" i="7" s="1"/>
  <c r="L167" i="7" a="1"/>
  <c r="L167" i="7" s="1"/>
  <c r="M167" i="7" a="1"/>
  <c r="M167" i="7" s="1"/>
  <c r="E167" i="7" a="1"/>
  <c r="E167" i="7" s="1"/>
  <c r="N167" i="7" a="1"/>
  <c r="N167" i="7" s="1"/>
  <c r="W167" i="7" a="1"/>
  <c r="W167" i="7" s="1"/>
  <c r="G155" i="7" a="1"/>
  <c r="G155" i="7" s="1"/>
  <c r="H155" i="7" a="1"/>
  <c r="H155" i="7" s="1"/>
  <c r="Q155" i="7" a="1"/>
  <c r="Q155" i="7" s="1"/>
  <c r="I155" i="7" a="1"/>
  <c r="I155" i="7" s="1"/>
  <c r="R155" i="7" a="1"/>
  <c r="R155" i="7" s="1"/>
  <c r="J155" i="7" a="1"/>
  <c r="J155" i="7" s="1"/>
  <c r="K155" i="7" a="1"/>
  <c r="K155" i="7" s="1"/>
  <c r="S155" i="7" a="1"/>
  <c r="S155" i="7" s="1"/>
  <c r="T155" i="7" a="1"/>
  <c r="T155" i="7" s="1"/>
  <c r="L155" i="7" a="1"/>
  <c r="L155" i="7" s="1"/>
  <c r="U155" i="7" a="1"/>
  <c r="U155" i="7" s="1"/>
  <c r="D155" i="7" a="1"/>
  <c r="D155" i="7" s="1"/>
  <c r="M155" i="7" a="1"/>
  <c r="M155" i="7" s="1"/>
  <c r="V155" i="7" a="1"/>
  <c r="V155" i="7" s="1"/>
  <c r="E155" i="7" a="1"/>
  <c r="E155" i="7" s="1"/>
  <c r="N155" i="7" a="1"/>
  <c r="N155" i="7" s="1"/>
  <c r="W155" i="7" a="1"/>
  <c r="W155" i="7" s="1"/>
  <c r="K143" i="7" a="1"/>
  <c r="K143" i="7" s="1"/>
  <c r="S143" i="7" a="1"/>
  <c r="S143" i="7" s="1"/>
  <c r="L143" i="7" a="1"/>
  <c r="L143" i="7" s="1"/>
  <c r="T143" i="7" a="1"/>
  <c r="T143" i="7" s="1"/>
  <c r="D143" i="7" a="1"/>
  <c r="D143" i="7" s="1"/>
  <c r="M143" i="7" a="1"/>
  <c r="M143" i="7" s="1"/>
  <c r="U143" i="7" a="1"/>
  <c r="U143" i="7" s="1"/>
  <c r="O143" i="7" a="1"/>
  <c r="O143" i="7" s="1"/>
  <c r="F143" i="7" a="1"/>
  <c r="F143" i="7" s="1"/>
  <c r="R143" i="7" a="1"/>
  <c r="R143" i="7" s="1"/>
  <c r="G143" i="7" a="1"/>
  <c r="G143" i="7" s="1"/>
  <c r="H143" i="7" a="1"/>
  <c r="H143" i="7" s="1"/>
  <c r="V143" i="7" a="1"/>
  <c r="V143" i="7" s="1"/>
  <c r="I143" i="7" a="1"/>
  <c r="I143" i="7" s="1"/>
  <c r="W143" i="7" a="1"/>
  <c r="W143" i="7" s="1"/>
  <c r="J143" i="7" a="1"/>
  <c r="J143" i="7" s="1"/>
  <c r="N143" i="7" a="1"/>
  <c r="N143" i="7" s="1"/>
  <c r="P143" i="7" a="1"/>
  <c r="P143" i="7" s="1"/>
  <c r="J131" i="7" a="1"/>
  <c r="J131" i="7" s="1"/>
  <c r="T131" i="7" a="1"/>
  <c r="T131" i="7" s="1"/>
  <c r="K131" i="7" a="1"/>
  <c r="K131" i="7" s="1"/>
  <c r="L131" i="7" a="1"/>
  <c r="L131" i="7" s="1"/>
  <c r="U131" i="7" a="1"/>
  <c r="U131" i="7" s="1"/>
  <c r="D131" i="7" a="1"/>
  <c r="D131" i="7" s="1"/>
  <c r="V131" i="7" a="1"/>
  <c r="V131" i="7" s="1"/>
  <c r="E131" i="7" a="1"/>
  <c r="E131" i="7" s="1"/>
  <c r="M131" i="7" a="1"/>
  <c r="M131" i="7" s="1"/>
  <c r="N131" i="7" a="1"/>
  <c r="N131" i="7" s="1"/>
  <c r="W131" i="7" a="1"/>
  <c r="W131" i="7" s="1"/>
  <c r="F131" i="7" a="1"/>
  <c r="F131" i="7" s="1"/>
  <c r="O131" i="7" a="1"/>
  <c r="O131" i="7" s="1"/>
  <c r="P131" i="7" a="1"/>
  <c r="P131" i="7" s="1"/>
  <c r="I131" i="7" a="1"/>
  <c r="I131" i="7" s="1"/>
  <c r="Q131" i="7" a="1"/>
  <c r="Q131" i="7" s="1"/>
  <c r="R131" i="7" a="1"/>
  <c r="R131" i="7" s="1"/>
  <c r="S131" i="7" a="1"/>
  <c r="S131" i="7" s="1"/>
  <c r="E119" i="7" a="1"/>
  <c r="E119" i="7" s="1"/>
  <c r="P119" i="7" a="1"/>
  <c r="P119" i="7" s="1"/>
  <c r="F119" i="7" a="1"/>
  <c r="F119" i="7" s="1"/>
  <c r="Q119" i="7" a="1"/>
  <c r="Q119" i="7" s="1"/>
  <c r="R119" i="7" a="1"/>
  <c r="R119" i="7" s="1"/>
  <c r="G119" i="7" a="1"/>
  <c r="G119" i="7" s="1"/>
  <c r="H119" i="7" a="1"/>
  <c r="H119" i="7" s="1"/>
  <c r="S119" i="7" a="1"/>
  <c r="S119" i="7" s="1"/>
  <c r="I119" i="7" a="1"/>
  <c r="I119" i="7" s="1"/>
  <c r="T119" i="7" a="1"/>
  <c r="T119" i="7" s="1"/>
  <c r="J119" i="7" a="1"/>
  <c r="J119" i="7" s="1"/>
  <c r="U119" i="7" a="1"/>
  <c r="U119" i="7" s="1"/>
  <c r="K119" i="7" a="1"/>
  <c r="K119" i="7" s="1"/>
  <c r="V119" i="7" a="1"/>
  <c r="V119" i="7" s="1"/>
  <c r="L119" i="7" a="1"/>
  <c r="L119" i="7" s="1"/>
  <c r="W119" i="7" a="1"/>
  <c r="W119" i="7" s="1"/>
  <c r="M119" i="7" a="1"/>
  <c r="M119" i="7" s="1"/>
  <c r="N119" i="7" a="1"/>
  <c r="N119" i="7" s="1"/>
  <c r="D119" i="7" a="1"/>
  <c r="D119" i="7" s="1"/>
  <c r="O119" i="7" a="1"/>
  <c r="O119" i="7" s="1"/>
  <c r="R107" i="7" a="1"/>
  <c r="R107" i="7" s="1"/>
  <c r="L107" i="7" a="1"/>
  <c r="L107" i="7" s="1"/>
  <c r="U107" i="7" a="1"/>
  <c r="U107" i="7" s="1"/>
  <c r="H107" i="7" a="1"/>
  <c r="H107" i="7" s="1"/>
  <c r="S107" i="7" a="1"/>
  <c r="S107" i="7" s="1"/>
  <c r="I107" i="7" a="1"/>
  <c r="I107" i="7" s="1"/>
  <c r="T107" i="7" a="1"/>
  <c r="T107" i="7" s="1"/>
  <c r="J107" i="7" a="1"/>
  <c r="J107" i="7" s="1"/>
  <c r="V107" i="7" a="1"/>
  <c r="V107" i="7" s="1"/>
  <c r="K107" i="7" a="1"/>
  <c r="K107" i="7" s="1"/>
  <c r="W107" i="7" a="1"/>
  <c r="W107" i="7" s="1"/>
  <c r="M107" i="7" a="1"/>
  <c r="M107" i="7" s="1"/>
  <c r="N107" i="7" a="1"/>
  <c r="N107" i="7" s="1"/>
  <c r="D107" i="7" a="1"/>
  <c r="D107" i="7" s="1"/>
  <c r="O107" i="7" a="1"/>
  <c r="O107" i="7" s="1"/>
  <c r="E107" i="7" a="1"/>
  <c r="E107" i="7" s="1"/>
  <c r="F107" i="7" a="1"/>
  <c r="F107" i="7" s="1"/>
  <c r="P107" i="7" a="1"/>
  <c r="P107" i="7" s="1"/>
  <c r="G107" i="7" a="1"/>
  <c r="G107" i="7" s="1"/>
  <c r="Q107" i="7" a="1"/>
  <c r="Q107" i="7" s="1"/>
  <c r="I95" i="7" a="1"/>
  <c r="I95" i="7" s="1"/>
  <c r="R95" i="7" a="1"/>
  <c r="R95" i="7" s="1"/>
  <c r="J95" i="7" a="1"/>
  <c r="J95" i="7" s="1"/>
  <c r="S95" i="7" a="1"/>
  <c r="S95" i="7" s="1"/>
  <c r="K95" i="7" a="1"/>
  <c r="K95" i="7" s="1"/>
  <c r="T95" i="7" a="1"/>
  <c r="T95" i="7" s="1"/>
  <c r="L95" i="7" a="1"/>
  <c r="L95" i="7" s="1"/>
  <c r="U95" i="7" a="1"/>
  <c r="U95" i="7" s="1"/>
  <c r="V95" i="7" a="1"/>
  <c r="V95" i="7" s="1"/>
  <c r="P95" i="7" a="1"/>
  <c r="P95" i="7" s="1"/>
  <c r="Q95" i="7" a="1"/>
  <c r="Q95" i="7" s="1"/>
  <c r="D95" i="7" a="1"/>
  <c r="D95" i="7" s="1"/>
  <c r="W95" i="7" a="1"/>
  <c r="W95" i="7" s="1"/>
  <c r="E95" i="7" a="1"/>
  <c r="E95" i="7" s="1"/>
  <c r="F95" i="7" a="1"/>
  <c r="F95" i="7" s="1"/>
  <c r="G95" i="7" a="1"/>
  <c r="G95" i="7" s="1"/>
  <c r="H95" i="7" a="1"/>
  <c r="H95" i="7" s="1"/>
  <c r="M95" i="7" a="1"/>
  <c r="M95" i="7" s="1"/>
  <c r="N95" i="7" a="1"/>
  <c r="N95" i="7" s="1"/>
  <c r="O95" i="7" a="1"/>
  <c r="O95" i="7" s="1"/>
  <c r="D83" i="7" a="1"/>
  <c r="D83" i="7" s="1"/>
  <c r="M83" i="7" a="1"/>
  <c r="M83" i="7" s="1"/>
  <c r="V83" i="7" a="1"/>
  <c r="V83" i="7" s="1"/>
  <c r="E83" i="7" a="1"/>
  <c r="E83" i="7" s="1"/>
  <c r="O83" i="7" a="1"/>
  <c r="O83" i="7" s="1"/>
  <c r="F83" i="7" a="1"/>
  <c r="F83" i="7" s="1"/>
  <c r="G83" i="7" a="1"/>
  <c r="G83" i="7" s="1"/>
  <c r="P83" i="7" a="1"/>
  <c r="P83" i="7" s="1"/>
  <c r="H83" i="7" a="1"/>
  <c r="H83" i="7" s="1"/>
  <c r="Q83" i="7" a="1"/>
  <c r="Q83" i="7" s="1"/>
  <c r="I83" i="7" a="1"/>
  <c r="I83" i="7" s="1"/>
  <c r="R83" i="7" a="1"/>
  <c r="R83" i="7" s="1"/>
  <c r="S83" i="7" a="1"/>
  <c r="S83" i="7" s="1"/>
  <c r="J83" i="7" a="1"/>
  <c r="J83" i="7" s="1"/>
  <c r="T83" i="7" a="1"/>
  <c r="T83" i="7" s="1"/>
  <c r="U83" i="7" a="1"/>
  <c r="U83" i="7" s="1"/>
  <c r="K83" i="7" a="1"/>
  <c r="K83" i="7" s="1"/>
  <c r="N83" i="7" a="1"/>
  <c r="N83" i="7" s="1"/>
  <c r="W83" i="7" a="1"/>
  <c r="W83" i="7" s="1"/>
  <c r="L83" i="7" a="1"/>
  <c r="L83" i="7" s="1"/>
  <c r="H71" i="7" a="1"/>
  <c r="H71" i="7" s="1"/>
  <c r="I71" i="7" a="1"/>
  <c r="I71" i="7" s="1"/>
  <c r="P71" i="7" a="1"/>
  <c r="P71" i="7" s="1"/>
  <c r="J71" i="7" a="1"/>
  <c r="J71" i="7" s="1"/>
  <c r="Q71" i="7" a="1"/>
  <c r="Q71" i="7" s="1"/>
  <c r="S71" i="7" a="1"/>
  <c r="S71" i="7" s="1"/>
  <c r="M71" i="7" a="1"/>
  <c r="M71" i="7" s="1"/>
  <c r="N71" i="7" a="1"/>
  <c r="N71" i="7" s="1"/>
  <c r="O71" i="7" a="1"/>
  <c r="O71" i="7" s="1"/>
  <c r="D71" i="7" a="1"/>
  <c r="D71" i="7" s="1"/>
  <c r="R71" i="7" a="1"/>
  <c r="R71" i="7" s="1"/>
  <c r="E71" i="7" a="1"/>
  <c r="E71" i="7" s="1"/>
  <c r="T71" i="7" a="1"/>
  <c r="T71" i="7" s="1"/>
  <c r="F71" i="7" a="1"/>
  <c r="F71" i="7" s="1"/>
  <c r="U71" i="7" a="1"/>
  <c r="U71" i="7" s="1"/>
  <c r="G71" i="7" a="1"/>
  <c r="G71" i="7" s="1"/>
  <c r="V71" i="7" a="1"/>
  <c r="V71" i="7" s="1"/>
  <c r="L71" i="7" a="1"/>
  <c r="L71" i="7" s="1"/>
  <c r="K71" i="7" a="1"/>
  <c r="K71" i="7" s="1"/>
  <c r="W71" i="7" a="1"/>
  <c r="W71" i="7" s="1"/>
  <c r="I59" i="7" a="1"/>
  <c r="I59" i="7" s="1"/>
  <c r="S59" i="7" a="1"/>
  <c r="S59" i="7" s="1"/>
  <c r="J59" i="7" a="1"/>
  <c r="J59" i="7" s="1"/>
  <c r="T59" i="7" a="1"/>
  <c r="T59" i="7" s="1"/>
  <c r="V59" i="7" a="1"/>
  <c r="V59" i="7" s="1"/>
  <c r="L59" i="7" a="1"/>
  <c r="L59" i="7" s="1"/>
  <c r="W59" i="7" a="1"/>
  <c r="W59" i="7" s="1"/>
  <c r="M59" i="7" a="1"/>
  <c r="M59" i="7" s="1"/>
  <c r="D59" i="7" a="1"/>
  <c r="D59" i="7" s="1"/>
  <c r="N59" i="7" a="1"/>
  <c r="N59" i="7" s="1"/>
  <c r="O59" i="7" a="1"/>
  <c r="O59" i="7" s="1"/>
  <c r="P59" i="7" a="1"/>
  <c r="P59" i="7" s="1"/>
  <c r="Q59" i="7" a="1"/>
  <c r="Q59" i="7" s="1"/>
  <c r="R59" i="7" a="1"/>
  <c r="R59" i="7" s="1"/>
  <c r="U59" i="7" a="1"/>
  <c r="U59" i="7" s="1"/>
  <c r="F59" i="7" a="1"/>
  <c r="F59" i="7" s="1"/>
  <c r="G59" i="7" a="1"/>
  <c r="G59" i="7" s="1"/>
  <c r="E59" i="7" a="1"/>
  <c r="E59" i="7" s="1"/>
  <c r="H59" i="7" a="1"/>
  <c r="H59" i="7" s="1"/>
  <c r="K59" i="7" a="1"/>
  <c r="K59" i="7" s="1"/>
  <c r="W47" i="7" a="1"/>
  <c r="W47" i="7" s="1"/>
  <c r="D47" i="7" a="1"/>
  <c r="D47" i="7" s="1"/>
  <c r="O47" i="7" a="1"/>
  <c r="O47" i="7" s="1"/>
  <c r="F47" i="7" a="1"/>
  <c r="F47" i="7" s="1"/>
  <c r="Q47" i="7" a="1"/>
  <c r="Q47" i="7" s="1"/>
  <c r="G47" i="7" a="1"/>
  <c r="G47" i="7" s="1"/>
  <c r="R47" i="7" a="1"/>
  <c r="R47" i="7" s="1"/>
  <c r="H47" i="7" a="1"/>
  <c r="H47" i="7" s="1"/>
  <c r="S47" i="7" a="1"/>
  <c r="S47" i="7" s="1"/>
  <c r="I47" i="7" a="1"/>
  <c r="I47" i="7" s="1"/>
  <c r="T47" i="7" a="1"/>
  <c r="T47" i="7" s="1"/>
  <c r="J47" i="7" a="1"/>
  <c r="J47" i="7" s="1"/>
  <c r="K47" i="7" a="1"/>
  <c r="K47" i="7" s="1"/>
  <c r="U47" i="7" a="1"/>
  <c r="U47" i="7" s="1"/>
  <c r="L47" i="7" a="1"/>
  <c r="L47" i="7" s="1"/>
  <c r="E47" i="7" a="1"/>
  <c r="E47" i="7" s="1"/>
  <c r="M47" i="7" a="1"/>
  <c r="M47" i="7" s="1"/>
  <c r="N47" i="7" a="1"/>
  <c r="N47" i="7" s="1"/>
  <c r="P47" i="7" a="1"/>
  <c r="P47" i="7" s="1"/>
  <c r="V47" i="7" a="1"/>
  <c r="V47" i="7" s="1"/>
  <c r="W23" i="7" a="1"/>
  <c r="W23" i="7" s="1"/>
  <c r="P172" i="7" a="1"/>
  <c r="P172" i="7" s="1"/>
  <c r="E171" i="7" a="1"/>
  <c r="E171" i="7" s="1"/>
  <c r="N169" i="7" a="1"/>
  <c r="N169" i="7" s="1"/>
  <c r="V147" i="7" a="1"/>
  <c r="V147" i="7" s="1"/>
  <c r="I140" i="7" a="1"/>
  <c r="I140" i="7" s="1"/>
  <c r="I135" i="7" a="1"/>
  <c r="I135" i="7" s="1"/>
  <c r="D97" i="7" a="1"/>
  <c r="D97" i="7" s="1"/>
  <c r="N97" i="7" a="1"/>
  <c r="N97" i="7" s="1"/>
  <c r="V97" i="7" a="1"/>
  <c r="V97" i="7" s="1"/>
  <c r="E97" i="7" a="1"/>
  <c r="E97" i="7" s="1"/>
  <c r="F97" i="7" a="1"/>
  <c r="F97" i="7" s="1"/>
  <c r="O97" i="7" a="1"/>
  <c r="O97" i="7" s="1"/>
  <c r="G97" i="7" a="1"/>
  <c r="G97" i="7" s="1"/>
  <c r="P97" i="7" a="1"/>
  <c r="P97" i="7" s="1"/>
  <c r="Q97" i="7" a="1"/>
  <c r="Q97" i="7" s="1"/>
  <c r="H97" i="7" a="1"/>
  <c r="H97" i="7" s="1"/>
  <c r="R97" i="7" a="1"/>
  <c r="R97" i="7" s="1"/>
  <c r="K97" i="7" a="1"/>
  <c r="K97" i="7" s="1"/>
  <c r="L97" i="7" a="1"/>
  <c r="L97" i="7" s="1"/>
  <c r="M97" i="7" a="1"/>
  <c r="M97" i="7" s="1"/>
  <c r="S97" i="7" a="1"/>
  <c r="S97" i="7" s="1"/>
  <c r="T97" i="7" a="1"/>
  <c r="T97" i="7" s="1"/>
  <c r="U97" i="7" a="1"/>
  <c r="U97" i="7" s="1"/>
  <c r="I97" i="7" a="1"/>
  <c r="I97" i="7" s="1"/>
  <c r="W97" i="7" a="1"/>
  <c r="W97" i="7" s="1"/>
  <c r="E72" i="7" a="1"/>
  <c r="E72" i="7" s="1"/>
  <c r="M72" i="7" a="1"/>
  <c r="M72" i="7" s="1"/>
  <c r="T72" i="7" a="1"/>
  <c r="T72" i="7" s="1"/>
  <c r="N72" i="7" a="1"/>
  <c r="N72" i="7" s="1"/>
  <c r="U72" i="7" a="1"/>
  <c r="U72" i="7" s="1"/>
  <c r="F72" i="7" a="1"/>
  <c r="F72" i="7" s="1"/>
  <c r="O72" i="7" a="1"/>
  <c r="O72" i="7" s="1"/>
  <c r="V72" i="7" a="1"/>
  <c r="V72" i="7" s="1"/>
  <c r="G72" i="7" a="1"/>
  <c r="G72" i="7" s="1"/>
  <c r="P72" i="7" a="1"/>
  <c r="P72" i="7" s="1"/>
  <c r="D72" i="7" a="1"/>
  <c r="D72" i="7" s="1"/>
  <c r="Q72" i="7" a="1"/>
  <c r="Q72" i="7" s="1"/>
  <c r="R72" i="7" a="1"/>
  <c r="R72" i="7" s="1"/>
  <c r="H72" i="7" a="1"/>
  <c r="H72" i="7" s="1"/>
  <c r="S72" i="7" a="1"/>
  <c r="S72" i="7" s="1"/>
  <c r="I72" i="7" a="1"/>
  <c r="I72" i="7" s="1"/>
  <c r="W72" i="7" a="1"/>
  <c r="W72" i="7" s="1"/>
  <c r="J72" i="7" a="1"/>
  <c r="J72" i="7" s="1"/>
  <c r="K72" i="7" a="1"/>
  <c r="K72" i="7" s="1"/>
  <c r="L72" i="7" a="1"/>
  <c r="L72" i="7" s="1"/>
  <c r="L48" i="7" a="1"/>
  <c r="L48" i="7" s="1"/>
  <c r="D48" i="7" a="1"/>
  <c r="D48" i="7" s="1"/>
  <c r="M48" i="7" a="1"/>
  <c r="M48" i="7" s="1"/>
  <c r="F48" i="7" a="1"/>
  <c r="F48" i="7" s="1"/>
  <c r="O48" i="7" a="1"/>
  <c r="O48" i="7" s="1"/>
  <c r="G48" i="7" a="1"/>
  <c r="G48" i="7" s="1"/>
  <c r="P48" i="7" a="1"/>
  <c r="P48" i="7" s="1"/>
  <c r="Q48" i="7" a="1"/>
  <c r="Q48" i="7" s="1"/>
  <c r="H48" i="7" a="1"/>
  <c r="H48" i="7" s="1"/>
  <c r="R48" i="7" a="1"/>
  <c r="R48" i="7" s="1"/>
  <c r="S48" i="7" a="1"/>
  <c r="S48" i="7" s="1"/>
  <c r="I48" i="7" a="1"/>
  <c r="I48" i="7" s="1"/>
  <c r="T48" i="7" a="1"/>
  <c r="T48" i="7" s="1"/>
  <c r="U48" i="7" a="1"/>
  <c r="U48" i="7" s="1"/>
  <c r="K48" i="7" a="1"/>
  <c r="K48" i="7" s="1"/>
  <c r="N48" i="7" a="1"/>
  <c r="N48" i="7" s="1"/>
  <c r="V48" i="7" a="1"/>
  <c r="V48" i="7" s="1"/>
  <c r="W48" i="7" a="1"/>
  <c r="W48" i="7" s="1"/>
  <c r="E48" i="7" a="1"/>
  <c r="E48" i="7" s="1"/>
  <c r="J48" i="7" a="1"/>
  <c r="J48" i="7" s="1"/>
  <c r="I36" i="7" a="1"/>
  <c r="I36" i="7" s="1"/>
  <c r="S36" i="7" a="1"/>
  <c r="S36" i="7" s="1"/>
  <c r="K36" i="7" a="1"/>
  <c r="K36" i="7" s="1"/>
  <c r="U36" i="7" a="1"/>
  <c r="U36" i="7" s="1"/>
  <c r="L36" i="7" a="1"/>
  <c r="L36" i="7" s="1"/>
  <c r="M36" i="7" a="1"/>
  <c r="M36" i="7" s="1"/>
  <c r="V36" i="7" a="1"/>
  <c r="V36" i="7" s="1"/>
  <c r="D36" i="7" a="1"/>
  <c r="D36" i="7" s="1"/>
  <c r="N36" i="7" a="1"/>
  <c r="N36" i="7" s="1"/>
  <c r="W36" i="7" a="1"/>
  <c r="W36" i="7" s="1"/>
  <c r="E36" i="7" a="1"/>
  <c r="E36" i="7" s="1"/>
  <c r="F36" i="7" a="1"/>
  <c r="F36" i="7" s="1"/>
  <c r="O36" i="7" a="1"/>
  <c r="O36" i="7" s="1"/>
  <c r="G36" i="7" a="1"/>
  <c r="G36" i="7" s="1"/>
  <c r="P36" i="7" a="1"/>
  <c r="P36" i="7" s="1"/>
  <c r="H36" i="7" a="1"/>
  <c r="H36" i="7" s="1"/>
  <c r="J36" i="7" a="1"/>
  <c r="J36" i="7" s="1"/>
  <c r="Q36" i="7" a="1"/>
  <c r="Q36" i="7" s="1"/>
  <c r="R36" i="7" a="1"/>
  <c r="R36" i="7" s="1"/>
  <c r="T36" i="7" a="1"/>
  <c r="T36" i="7" s="1"/>
  <c r="O169" i="7" a="1"/>
  <c r="O169" i="7" s="1"/>
  <c r="U144" i="7" a="1"/>
  <c r="U144" i="7" s="1"/>
  <c r="R166" i="7" a="1"/>
  <c r="R166" i="7" s="1"/>
  <c r="J166" i="7" a="1"/>
  <c r="J166" i="7" s="1"/>
  <c r="S166" i="7" a="1"/>
  <c r="S166" i="7" s="1"/>
  <c r="K166" i="7" a="1"/>
  <c r="K166" i="7" s="1"/>
  <c r="T166" i="7" a="1"/>
  <c r="T166" i="7" s="1"/>
  <c r="U166" i="7" a="1"/>
  <c r="U166" i="7" s="1"/>
  <c r="L166" i="7" a="1"/>
  <c r="L166" i="7" s="1"/>
  <c r="D166" i="7" a="1"/>
  <c r="D166" i="7" s="1"/>
  <c r="M166" i="7" a="1"/>
  <c r="M166" i="7" s="1"/>
  <c r="V166" i="7" a="1"/>
  <c r="V166" i="7" s="1"/>
  <c r="E166" i="7" a="1"/>
  <c r="E166" i="7" s="1"/>
  <c r="N166" i="7" a="1"/>
  <c r="N166" i="7" s="1"/>
  <c r="W166" i="7" a="1"/>
  <c r="W166" i="7" s="1"/>
  <c r="O166" i="7" a="1"/>
  <c r="O166" i="7" s="1"/>
  <c r="G166" i="7" a="1"/>
  <c r="G166" i="7" s="1"/>
  <c r="P166" i="7" a="1"/>
  <c r="P166" i="7" s="1"/>
  <c r="K154" i="7" a="1"/>
  <c r="K154" i="7" s="1"/>
  <c r="S154" i="7" a="1"/>
  <c r="S154" i="7" s="1"/>
  <c r="L154" i="7" a="1"/>
  <c r="L154" i="7" s="1"/>
  <c r="T154" i="7" a="1"/>
  <c r="T154" i="7" s="1"/>
  <c r="U154" i="7" a="1"/>
  <c r="U154" i="7" s="1"/>
  <c r="D154" i="7" a="1"/>
  <c r="D154" i="7" s="1"/>
  <c r="M154" i="7" a="1"/>
  <c r="M154" i="7" s="1"/>
  <c r="V154" i="7" a="1"/>
  <c r="V154" i="7" s="1"/>
  <c r="E154" i="7" a="1"/>
  <c r="E154" i="7" s="1"/>
  <c r="W154" i="7" a="1"/>
  <c r="W154" i="7" s="1"/>
  <c r="N154" i="7" a="1"/>
  <c r="N154" i="7" s="1"/>
  <c r="F154" i="7" a="1"/>
  <c r="F154" i="7" s="1"/>
  <c r="G154" i="7" a="1"/>
  <c r="G154" i="7" s="1"/>
  <c r="O154" i="7" a="1"/>
  <c r="O154" i="7" s="1"/>
  <c r="H154" i="7" a="1"/>
  <c r="H154" i="7" s="1"/>
  <c r="P154" i="7" a="1"/>
  <c r="P154" i="7" s="1"/>
  <c r="D142" i="7" a="1"/>
  <c r="D142" i="7" s="1"/>
  <c r="M142" i="7" a="1"/>
  <c r="M142" i="7" s="1"/>
  <c r="W142" i="7" a="1"/>
  <c r="W142" i="7" s="1"/>
  <c r="E142" i="7" a="1"/>
  <c r="E142" i="7" s="1"/>
  <c r="N142" i="7" a="1"/>
  <c r="N142" i="7" s="1"/>
  <c r="F142" i="7" a="1"/>
  <c r="F142" i="7" s="1"/>
  <c r="I142" i="7" a="1"/>
  <c r="I142" i="7" s="1"/>
  <c r="L142" i="7" a="1"/>
  <c r="L142" i="7" s="1"/>
  <c r="O142" i="7" a="1"/>
  <c r="O142" i="7" s="1"/>
  <c r="P142" i="7" a="1"/>
  <c r="P142" i="7" s="1"/>
  <c r="Q142" i="7" a="1"/>
  <c r="Q142" i="7" s="1"/>
  <c r="R142" i="7" a="1"/>
  <c r="R142" i="7" s="1"/>
  <c r="G142" i="7" a="1"/>
  <c r="G142" i="7" s="1"/>
  <c r="S142" i="7" a="1"/>
  <c r="S142" i="7" s="1"/>
  <c r="H142" i="7" a="1"/>
  <c r="H142" i="7" s="1"/>
  <c r="T142" i="7" a="1"/>
  <c r="T142" i="7" s="1"/>
  <c r="J142" i="7" a="1"/>
  <c r="J142" i="7" s="1"/>
  <c r="U142" i="7" a="1"/>
  <c r="U142" i="7" s="1"/>
  <c r="V142" i="7" a="1"/>
  <c r="V142" i="7" s="1"/>
  <c r="N130" i="7" a="1"/>
  <c r="N130" i="7" s="1"/>
  <c r="U130" i="7" a="1"/>
  <c r="U130" i="7" s="1"/>
  <c r="V130" i="7" a="1"/>
  <c r="V130" i="7" s="1"/>
  <c r="D130" i="7" a="1"/>
  <c r="D130" i="7" s="1"/>
  <c r="O130" i="7" a="1"/>
  <c r="O130" i="7" s="1"/>
  <c r="W130" i="7" a="1"/>
  <c r="W130" i="7" s="1"/>
  <c r="E130" i="7" a="1"/>
  <c r="E130" i="7" s="1"/>
  <c r="P130" i="7" a="1"/>
  <c r="P130" i="7" s="1"/>
  <c r="F130" i="7" a="1"/>
  <c r="F130" i="7" s="1"/>
  <c r="G130" i="7" a="1"/>
  <c r="G130" i="7" s="1"/>
  <c r="Q130" i="7" a="1"/>
  <c r="Q130" i="7" s="1"/>
  <c r="H130" i="7" a="1"/>
  <c r="H130" i="7" s="1"/>
  <c r="R130" i="7" a="1"/>
  <c r="R130" i="7" s="1"/>
  <c r="I130" i="7" a="1"/>
  <c r="I130" i="7" s="1"/>
  <c r="J130" i="7" a="1"/>
  <c r="J130" i="7" s="1"/>
  <c r="K130" i="7" a="1"/>
  <c r="K130" i="7" s="1"/>
  <c r="L130" i="7" a="1"/>
  <c r="L130" i="7" s="1"/>
  <c r="M130" i="7" a="1"/>
  <c r="M130" i="7" s="1"/>
  <c r="S130" i="7" a="1"/>
  <c r="S130" i="7" s="1"/>
  <c r="T130" i="7" a="1"/>
  <c r="T130" i="7" s="1"/>
  <c r="D118" i="7" a="1"/>
  <c r="D118" i="7" s="1"/>
  <c r="O118" i="7" a="1"/>
  <c r="O118" i="7" s="1"/>
  <c r="E118" i="7" a="1"/>
  <c r="E118" i="7" s="1"/>
  <c r="P118" i="7" a="1"/>
  <c r="P118" i="7" s="1"/>
  <c r="F118" i="7" a="1"/>
  <c r="F118" i="7" s="1"/>
  <c r="Q118" i="7" a="1"/>
  <c r="Q118" i="7" s="1"/>
  <c r="G118" i="7" a="1"/>
  <c r="G118" i="7" s="1"/>
  <c r="R118" i="7" a="1"/>
  <c r="R118" i="7" s="1"/>
  <c r="H118" i="7" a="1"/>
  <c r="H118" i="7" s="1"/>
  <c r="S118" i="7" a="1"/>
  <c r="S118" i="7" s="1"/>
  <c r="I118" i="7" a="1"/>
  <c r="I118" i="7" s="1"/>
  <c r="T118" i="7" a="1"/>
  <c r="T118" i="7" s="1"/>
  <c r="J118" i="7" a="1"/>
  <c r="J118" i="7" s="1"/>
  <c r="K118" i="7" a="1"/>
  <c r="K118" i="7" s="1"/>
  <c r="U118" i="7" a="1"/>
  <c r="U118" i="7" s="1"/>
  <c r="L118" i="7" a="1"/>
  <c r="L118" i="7" s="1"/>
  <c r="V118" i="7" a="1"/>
  <c r="V118" i="7" s="1"/>
  <c r="M118" i="7" a="1"/>
  <c r="M118" i="7" s="1"/>
  <c r="W118" i="7" a="1"/>
  <c r="W118" i="7" s="1"/>
  <c r="N118" i="7" a="1"/>
  <c r="N118" i="7" s="1"/>
  <c r="D106" i="7" a="1"/>
  <c r="D106" i="7" s="1"/>
  <c r="L106" i="7" a="1"/>
  <c r="L106" i="7" s="1"/>
  <c r="F106" i="7" a="1"/>
  <c r="F106" i="7" s="1"/>
  <c r="O106" i="7" a="1"/>
  <c r="O106" i="7" s="1"/>
  <c r="V106" i="7" a="1"/>
  <c r="V106" i="7" s="1"/>
  <c r="P106" i="7" a="1"/>
  <c r="P106" i="7" s="1"/>
  <c r="W106" i="7" a="1"/>
  <c r="W106" i="7" s="1"/>
  <c r="E106" i="7" a="1"/>
  <c r="E106" i="7" s="1"/>
  <c r="R106" i="7" a="1"/>
  <c r="R106" i="7" s="1"/>
  <c r="G106" i="7" a="1"/>
  <c r="G106" i="7" s="1"/>
  <c r="S106" i="7" a="1"/>
  <c r="S106" i="7" s="1"/>
  <c r="H106" i="7" a="1"/>
  <c r="H106" i="7" s="1"/>
  <c r="T106" i="7" a="1"/>
  <c r="T106" i="7" s="1"/>
  <c r="I106" i="7" a="1"/>
  <c r="I106" i="7" s="1"/>
  <c r="U106" i="7" a="1"/>
  <c r="U106" i="7" s="1"/>
  <c r="J106" i="7" a="1"/>
  <c r="J106" i="7" s="1"/>
  <c r="K106" i="7" a="1"/>
  <c r="K106" i="7" s="1"/>
  <c r="M106" i="7" a="1"/>
  <c r="M106" i="7" s="1"/>
  <c r="N106" i="7" a="1"/>
  <c r="N106" i="7" s="1"/>
  <c r="Q106" i="7" a="1"/>
  <c r="Q106" i="7" s="1"/>
  <c r="G94" i="7" a="1"/>
  <c r="G94" i="7" s="1"/>
  <c r="R94" i="7" a="1"/>
  <c r="R94" i="7" s="1"/>
  <c r="E94" i="7" a="1"/>
  <c r="E94" i="7" s="1"/>
  <c r="Q94" i="7" a="1"/>
  <c r="Q94" i="7" s="1"/>
  <c r="F94" i="7" a="1"/>
  <c r="F94" i="7" s="1"/>
  <c r="S94" i="7" a="1"/>
  <c r="S94" i="7" s="1"/>
  <c r="H94" i="7" a="1"/>
  <c r="H94" i="7" s="1"/>
  <c r="T94" i="7" a="1"/>
  <c r="T94" i="7" s="1"/>
  <c r="U94" i="7" a="1"/>
  <c r="U94" i="7" s="1"/>
  <c r="I94" i="7" a="1"/>
  <c r="I94" i="7" s="1"/>
  <c r="V94" i="7" a="1"/>
  <c r="V94" i="7" s="1"/>
  <c r="J94" i="7" a="1"/>
  <c r="J94" i="7" s="1"/>
  <c r="W94" i="7" a="1"/>
  <c r="W94" i="7" s="1"/>
  <c r="N94" i="7" a="1"/>
  <c r="N94" i="7" s="1"/>
  <c r="O94" i="7" a="1"/>
  <c r="O94" i="7" s="1"/>
  <c r="P94" i="7" a="1"/>
  <c r="P94" i="7" s="1"/>
  <c r="D94" i="7" a="1"/>
  <c r="D94" i="7" s="1"/>
  <c r="K94" i="7" a="1"/>
  <c r="K94" i="7" s="1"/>
  <c r="L94" i="7" a="1"/>
  <c r="L94" i="7" s="1"/>
  <c r="M94" i="7" a="1"/>
  <c r="M94" i="7" s="1"/>
  <c r="O82" i="7" a="1"/>
  <c r="O82" i="7" s="1"/>
  <c r="F82" i="7" a="1"/>
  <c r="F82" i="7" s="1"/>
  <c r="P82" i="7" a="1"/>
  <c r="P82" i="7" s="1"/>
  <c r="G82" i="7" a="1"/>
  <c r="G82" i="7" s="1"/>
  <c r="M82" i="7" a="1"/>
  <c r="M82" i="7" s="1"/>
  <c r="W82" i="7" a="1"/>
  <c r="W82" i="7" s="1"/>
  <c r="N82" i="7" a="1"/>
  <c r="N82" i="7" s="1"/>
  <c r="D82" i="7" a="1"/>
  <c r="D82" i="7" s="1"/>
  <c r="Q82" i="7" a="1"/>
  <c r="Q82" i="7" s="1"/>
  <c r="E82" i="7" a="1"/>
  <c r="E82" i="7" s="1"/>
  <c r="R82" i="7" a="1"/>
  <c r="R82" i="7" s="1"/>
  <c r="H82" i="7" a="1"/>
  <c r="H82" i="7" s="1"/>
  <c r="S82" i="7" a="1"/>
  <c r="S82" i="7" s="1"/>
  <c r="I82" i="7" a="1"/>
  <c r="I82" i="7" s="1"/>
  <c r="T82" i="7" a="1"/>
  <c r="T82" i="7" s="1"/>
  <c r="J82" i="7" a="1"/>
  <c r="J82" i="7" s="1"/>
  <c r="L82" i="7" a="1"/>
  <c r="L82" i="7" s="1"/>
  <c r="V82" i="7" a="1"/>
  <c r="V82" i="7" s="1"/>
  <c r="K82" i="7" a="1"/>
  <c r="K82" i="7" s="1"/>
  <c r="U82" i="7" a="1"/>
  <c r="U82" i="7" s="1"/>
  <c r="T70" i="7" a="1"/>
  <c r="T70" i="7" s="1"/>
  <c r="K70" i="7" a="1"/>
  <c r="K70" i="7" s="1"/>
  <c r="D70" i="7" a="1"/>
  <c r="D70" i="7" s="1"/>
  <c r="U70" i="7" a="1"/>
  <c r="U70" i="7" s="1"/>
  <c r="F70" i="7" a="1"/>
  <c r="F70" i="7" s="1"/>
  <c r="M70" i="7" a="1"/>
  <c r="M70" i="7" s="1"/>
  <c r="V70" i="7" a="1"/>
  <c r="V70" i="7" s="1"/>
  <c r="S70" i="7" a="1"/>
  <c r="S70" i="7" s="1"/>
  <c r="H70" i="7" a="1"/>
  <c r="H70" i="7" s="1"/>
  <c r="I70" i="7" a="1"/>
  <c r="I70" i="7" s="1"/>
  <c r="W70" i="7" a="1"/>
  <c r="W70" i="7" s="1"/>
  <c r="J70" i="7" a="1"/>
  <c r="J70" i="7" s="1"/>
  <c r="L70" i="7" a="1"/>
  <c r="L70" i="7" s="1"/>
  <c r="N70" i="7" a="1"/>
  <c r="N70" i="7" s="1"/>
  <c r="O70" i="7" a="1"/>
  <c r="O70" i="7" s="1"/>
  <c r="P70" i="7" a="1"/>
  <c r="P70" i="7" s="1"/>
  <c r="G70" i="7" a="1"/>
  <c r="G70" i="7" s="1"/>
  <c r="R70" i="7" a="1"/>
  <c r="R70" i="7" s="1"/>
  <c r="E70" i="7" a="1"/>
  <c r="E70" i="7" s="1"/>
  <c r="Q70" i="7" a="1"/>
  <c r="Q70" i="7" s="1"/>
  <c r="J58" i="7" a="1"/>
  <c r="J58" i="7" s="1"/>
  <c r="K58" i="7" a="1"/>
  <c r="K58" i="7" s="1"/>
  <c r="T58" i="7" a="1"/>
  <c r="T58" i="7" s="1"/>
  <c r="M58" i="7" a="1"/>
  <c r="M58" i="7" s="1"/>
  <c r="V58" i="7" a="1"/>
  <c r="V58" i="7" s="1"/>
  <c r="D58" i="7" a="1"/>
  <c r="D58" i="7" s="1"/>
  <c r="W58" i="7" a="1"/>
  <c r="W58" i="7" s="1"/>
  <c r="E58" i="7" a="1"/>
  <c r="E58" i="7" s="1"/>
  <c r="N58" i="7" a="1"/>
  <c r="N58" i="7" s="1"/>
  <c r="F58" i="7" a="1"/>
  <c r="F58" i="7" s="1"/>
  <c r="O58" i="7" a="1"/>
  <c r="O58" i="7" s="1"/>
  <c r="G58" i="7" a="1"/>
  <c r="G58" i="7" s="1"/>
  <c r="L58" i="7" a="1"/>
  <c r="L58" i="7" s="1"/>
  <c r="P58" i="7" a="1"/>
  <c r="P58" i="7" s="1"/>
  <c r="R58" i="7" a="1"/>
  <c r="R58" i="7" s="1"/>
  <c r="S58" i="7" a="1"/>
  <c r="S58" i="7" s="1"/>
  <c r="U58" i="7" a="1"/>
  <c r="U58" i="7" s="1"/>
  <c r="H58" i="7" a="1"/>
  <c r="H58" i="7" s="1"/>
  <c r="I58" i="7" a="1"/>
  <c r="I58" i="7" s="1"/>
  <c r="Q58" i="7" a="1"/>
  <c r="Q58" i="7" s="1"/>
  <c r="K46" i="7" a="1"/>
  <c r="K46" i="7" s="1"/>
  <c r="W46" i="7" a="1"/>
  <c r="W46" i="7" s="1"/>
  <c r="L46" i="7" a="1"/>
  <c r="L46" i="7" s="1"/>
  <c r="N46" i="7" a="1"/>
  <c r="N46" i="7" s="1"/>
  <c r="O46" i="7" a="1"/>
  <c r="O46" i="7" s="1"/>
  <c r="D46" i="7" a="1"/>
  <c r="D46" i="7" s="1"/>
  <c r="P46" i="7" a="1"/>
  <c r="P46" i="7" s="1"/>
  <c r="E46" i="7" a="1"/>
  <c r="E46" i="7" s="1"/>
  <c r="Q46" i="7" a="1"/>
  <c r="Q46" i="7" s="1"/>
  <c r="F46" i="7" a="1"/>
  <c r="F46" i="7" s="1"/>
  <c r="R46" i="7" a="1"/>
  <c r="R46" i="7" s="1"/>
  <c r="G46" i="7" a="1"/>
  <c r="G46" i="7" s="1"/>
  <c r="S46" i="7" a="1"/>
  <c r="S46" i="7" s="1"/>
  <c r="H46" i="7" a="1"/>
  <c r="H46" i="7" s="1"/>
  <c r="T46" i="7" a="1"/>
  <c r="T46" i="7" s="1"/>
  <c r="J46" i="7" a="1"/>
  <c r="J46" i="7" s="1"/>
  <c r="M46" i="7" a="1"/>
  <c r="M46" i="7" s="1"/>
  <c r="U46" i="7" a="1"/>
  <c r="U46" i="7" s="1"/>
  <c r="V46" i="7" a="1"/>
  <c r="V46" i="7" s="1"/>
  <c r="I46" i="7" a="1"/>
  <c r="I46" i="7" s="1"/>
  <c r="E34" i="7" a="1"/>
  <c r="E34" i="7" s="1"/>
  <c r="O34" i="7" a="1"/>
  <c r="O34" i="7" s="1"/>
  <c r="F34" i="7" a="1"/>
  <c r="F34" i="7" s="1"/>
  <c r="P34" i="7" a="1"/>
  <c r="P34" i="7" s="1"/>
  <c r="H34" i="7" a="1"/>
  <c r="H34" i="7" s="1"/>
  <c r="R34" i="7" a="1"/>
  <c r="R34" i="7" s="1"/>
  <c r="I34" i="7" a="1"/>
  <c r="I34" i="7" s="1"/>
  <c r="S34" i="7" a="1"/>
  <c r="S34" i="7" s="1"/>
  <c r="J34" i="7" a="1"/>
  <c r="J34" i="7" s="1"/>
  <c r="T34" i="7" a="1"/>
  <c r="T34" i="7" s="1"/>
  <c r="K34" i="7" a="1"/>
  <c r="K34" i="7" s="1"/>
  <c r="U34" i="7" a="1"/>
  <c r="U34" i="7" s="1"/>
  <c r="L34" i="7" a="1"/>
  <c r="L34" i="7" s="1"/>
  <c r="V34" i="7" a="1"/>
  <c r="V34" i="7" s="1"/>
  <c r="W34" i="7" a="1"/>
  <c r="W34" i="7" s="1"/>
  <c r="M34" i="7" a="1"/>
  <c r="M34" i="7" s="1"/>
  <c r="D34" i="7" a="1"/>
  <c r="D34" i="7" s="1"/>
  <c r="G34" i="7" a="1"/>
  <c r="G34" i="7" s="1"/>
  <c r="N34" i="7" a="1"/>
  <c r="N34" i="7" s="1"/>
  <c r="Q34" i="7" a="1"/>
  <c r="Q34" i="7" s="1"/>
  <c r="Q23" i="7" a="1"/>
  <c r="Q23" i="7" s="1"/>
  <c r="N172" i="7" a="1"/>
  <c r="N172" i="7" s="1"/>
  <c r="W170" i="7" a="1"/>
  <c r="W170" i="7" s="1"/>
  <c r="L169" i="7" a="1"/>
  <c r="L169" i="7" s="1"/>
  <c r="V167" i="7" a="1"/>
  <c r="V167" i="7" s="1"/>
  <c r="H166" i="7" a="1"/>
  <c r="H166" i="7" s="1"/>
  <c r="U162" i="7" a="1"/>
  <c r="U162" i="7" s="1"/>
  <c r="U160" i="7" a="1"/>
  <c r="U160" i="7" s="1"/>
  <c r="O158" i="7" a="1"/>
  <c r="O158" i="7" s="1"/>
  <c r="L156" i="7" a="1"/>
  <c r="L156" i="7" s="1"/>
  <c r="O157" i="7" a="1"/>
  <c r="O157" i="7" s="1"/>
  <c r="V157" i="7" a="1"/>
  <c r="V157" i="7" s="1"/>
  <c r="H157" i="7" a="1"/>
  <c r="H157" i="7" s="1"/>
  <c r="I157" i="7" a="1"/>
  <c r="I157" i="7" s="1"/>
  <c r="P157" i="7" a="1"/>
  <c r="P157" i="7" s="1"/>
  <c r="W157" i="7" a="1"/>
  <c r="W157" i="7" s="1"/>
  <c r="J157" i="7" a="1"/>
  <c r="J157" i="7" s="1"/>
  <c r="Q157" i="7" a="1"/>
  <c r="Q157" i="7" s="1"/>
  <c r="D157" i="7" a="1"/>
  <c r="D157" i="7" s="1"/>
  <c r="K157" i="7" a="1"/>
  <c r="K157" i="7" s="1"/>
  <c r="R157" i="7" a="1"/>
  <c r="R157" i="7" s="1"/>
  <c r="S157" i="7" a="1"/>
  <c r="S157" i="7" s="1"/>
  <c r="E157" i="7" a="1"/>
  <c r="E157" i="7" s="1"/>
  <c r="L157" i="7" a="1"/>
  <c r="L157" i="7" s="1"/>
  <c r="M157" i="7" a="1"/>
  <c r="M157" i="7" s="1"/>
  <c r="T157" i="7" a="1"/>
  <c r="T157" i="7" s="1"/>
  <c r="H61" i="7" a="1"/>
  <c r="H61" i="7" s="1"/>
  <c r="S61" i="7" a="1"/>
  <c r="S61" i="7" s="1"/>
  <c r="I61" i="7" a="1"/>
  <c r="I61" i="7" s="1"/>
  <c r="K61" i="7" a="1"/>
  <c r="K61" i="7" s="1"/>
  <c r="U61" i="7" a="1"/>
  <c r="U61" i="7" s="1"/>
  <c r="L61" i="7" a="1"/>
  <c r="L61" i="7" s="1"/>
  <c r="V61" i="7" a="1"/>
  <c r="V61" i="7" s="1"/>
  <c r="M61" i="7" a="1"/>
  <c r="M61" i="7" s="1"/>
  <c r="W61" i="7" a="1"/>
  <c r="W61" i="7" s="1"/>
  <c r="N61" i="7" a="1"/>
  <c r="N61" i="7" s="1"/>
  <c r="O61" i="7" a="1"/>
  <c r="O61" i="7" s="1"/>
  <c r="P61" i="7" a="1"/>
  <c r="P61" i="7" s="1"/>
  <c r="R61" i="7" a="1"/>
  <c r="R61" i="7" s="1"/>
  <c r="D61" i="7" a="1"/>
  <c r="D61" i="7" s="1"/>
  <c r="F61" i="7" a="1"/>
  <c r="F61" i="7" s="1"/>
  <c r="E61" i="7" a="1"/>
  <c r="E61" i="7" s="1"/>
  <c r="G61" i="7" a="1"/>
  <c r="G61" i="7" s="1"/>
  <c r="J61" i="7" a="1"/>
  <c r="J61" i="7" s="1"/>
  <c r="Q61" i="7" a="1"/>
  <c r="Q61" i="7" s="1"/>
  <c r="T61" i="7" a="1"/>
  <c r="T61" i="7" s="1"/>
  <c r="O168" i="7" a="1"/>
  <c r="O168" i="7" s="1"/>
  <c r="F168" i="7" a="1"/>
  <c r="F168" i="7" s="1"/>
  <c r="P168" i="7" a="1"/>
  <c r="P168" i="7" s="1"/>
  <c r="G168" i="7" a="1"/>
  <c r="G168" i="7" s="1"/>
  <c r="Q168" i="7" a="1"/>
  <c r="Q168" i="7" s="1"/>
  <c r="R168" i="7" a="1"/>
  <c r="R168" i="7" s="1"/>
  <c r="H168" i="7" a="1"/>
  <c r="H168" i="7" s="1"/>
  <c r="S168" i="7" a="1"/>
  <c r="S168" i="7" s="1"/>
  <c r="I168" i="7" a="1"/>
  <c r="I168" i="7" s="1"/>
  <c r="K168" i="7" a="1"/>
  <c r="K168" i="7" s="1"/>
  <c r="U168" i="7" a="1"/>
  <c r="U168" i="7" s="1"/>
  <c r="M168" i="7" a="1"/>
  <c r="M168" i="7" s="1"/>
  <c r="W168" i="7" a="1"/>
  <c r="W168" i="7" s="1"/>
  <c r="T165" i="7" a="1"/>
  <c r="T165" i="7" s="1"/>
  <c r="L165" i="7" a="1"/>
  <c r="L165" i="7" s="1"/>
  <c r="U165" i="7" a="1"/>
  <c r="U165" i="7" s="1"/>
  <c r="D165" i="7" a="1"/>
  <c r="D165" i="7" s="1"/>
  <c r="M165" i="7" a="1"/>
  <c r="M165" i="7" s="1"/>
  <c r="V165" i="7" a="1"/>
  <c r="V165" i="7" s="1"/>
  <c r="E165" i="7" a="1"/>
  <c r="E165" i="7" s="1"/>
  <c r="W165" i="7" a="1"/>
  <c r="W165" i="7" s="1"/>
  <c r="N165" i="7" a="1"/>
  <c r="N165" i="7" s="1"/>
  <c r="F165" i="7" a="1"/>
  <c r="F165" i="7" s="1"/>
  <c r="O165" i="7" a="1"/>
  <c r="O165" i="7" s="1"/>
  <c r="G165" i="7" a="1"/>
  <c r="G165" i="7" s="1"/>
  <c r="P165" i="7" a="1"/>
  <c r="P165" i="7" s="1"/>
  <c r="Q165" i="7" a="1"/>
  <c r="Q165" i="7" s="1"/>
  <c r="I165" i="7" a="1"/>
  <c r="I165" i="7" s="1"/>
  <c r="R165" i="7" a="1"/>
  <c r="R165" i="7" s="1"/>
  <c r="D153" i="7" a="1"/>
  <c r="D153" i="7" s="1"/>
  <c r="L153" i="7" a="1"/>
  <c r="L153" i="7" s="1"/>
  <c r="U153" i="7" a="1"/>
  <c r="U153" i="7" s="1"/>
  <c r="E153" i="7" a="1"/>
  <c r="E153" i="7" s="1"/>
  <c r="F153" i="7" a="1"/>
  <c r="F153" i="7" s="1"/>
  <c r="M153" i="7" a="1"/>
  <c r="M153" i="7" s="1"/>
  <c r="V153" i="7" a="1"/>
  <c r="V153" i="7" s="1"/>
  <c r="N153" i="7" a="1"/>
  <c r="N153" i="7" s="1"/>
  <c r="W153" i="7" a="1"/>
  <c r="W153" i="7" s="1"/>
  <c r="G153" i="7" a="1"/>
  <c r="G153" i="7" s="1"/>
  <c r="O153" i="7" a="1"/>
  <c r="O153" i="7" s="1"/>
  <c r="P153" i="7" a="1"/>
  <c r="P153" i="7" s="1"/>
  <c r="H153" i="7" a="1"/>
  <c r="H153" i="7" s="1"/>
  <c r="Q153" i="7" a="1"/>
  <c r="Q153" i="7" s="1"/>
  <c r="R153" i="7" a="1"/>
  <c r="R153" i="7" s="1"/>
  <c r="I153" i="7" a="1"/>
  <c r="I153" i="7" s="1"/>
  <c r="S153" i="7" a="1"/>
  <c r="S153" i="7" s="1"/>
  <c r="J153" i="7" a="1"/>
  <c r="J153" i="7" s="1"/>
  <c r="F141" i="7" a="1"/>
  <c r="F141" i="7" s="1"/>
  <c r="O141" i="7" a="1"/>
  <c r="O141" i="7" s="1"/>
  <c r="P141" i="7" a="1"/>
  <c r="P141" i="7" s="1"/>
  <c r="G141" i="7" a="1"/>
  <c r="G141" i="7" s="1"/>
  <c r="Q141" i="7" a="1"/>
  <c r="Q141" i="7" s="1"/>
  <c r="I141" i="7" a="1"/>
  <c r="I141" i="7" s="1"/>
  <c r="S141" i="7" a="1"/>
  <c r="S141" i="7" s="1"/>
  <c r="D141" i="7" a="1"/>
  <c r="D141" i="7" s="1"/>
  <c r="E141" i="7" a="1"/>
  <c r="E141" i="7" s="1"/>
  <c r="T141" i="7" a="1"/>
  <c r="T141" i="7" s="1"/>
  <c r="H141" i="7" a="1"/>
  <c r="H141" i="7" s="1"/>
  <c r="U141" i="7" a="1"/>
  <c r="U141" i="7" s="1"/>
  <c r="J141" i="7" a="1"/>
  <c r="J141" i="7" s="1"/>
  <c r="V141" i="7" a="1"/>
  <c r="V141" i="7" s="1"/>
  <c r="W141" i="7" a="1"/>
  <c r="W141" i="7" s="1"/>
  <c r="K141" i="7" a="1"/>
  <c r="K141" i="7" s="1"/>
  <c r="L141" i="7" a="1"/>
  <c r="L141" i="7" s="1"/>
  <c r="M141" i="7" a="1"/>
  <c r="M141" i="7" s="1"/>
  <c r="N141" i="7" a="1"/>
  <c r="N141" i="7" s="1"/>
  <c r="L129" i="7" a="1"/>
  <c r="L129" i="7" s="1"/>
  <c r="M129" i="7" a="1"/>
  <c r="M129" i="7" s="1"/>
  <c r="W129" i="7" a="1"/>
  <c r="W129" i="7" s="1"/>
  <c r="N129" i="7" a="1"/>
  <c r="N129" i="7" s="1"/>
  <c r="D129" i="7" a="1"/>
  <c r="D129" i="7" s="1"/>
  <c r="O129" i="7" a="1"/>
  <c r="O129" i="7" s="1"/>
  <c r="E129" i="7" a="1"/>
  <c r="E129" i="7" s="1"/>
  <c r="P129" i="7" a="1"/>
  <c r="P129" i="7" s="1"/>
  <c r="F129" i="7" a="1"/>
  <c r="F129" i="7" s="1"/>
  <c r="G129" i="7" a="1"/>
  <c r="G129" i="7" s="1"/>
  <c r="Q129" i="7" a="1"/>
  <c r="Q129" i="7" s="1"/>
  <c r="H129" i="7" a="1"/>
  <c r="H129" i="7" s="1"/>
  <c r="R129" i="7" a="1"/>
  <c r="R129" i="7" s="1"/>
  <c r="U129" i="7" a="1"/>
  <c r="U129" i="7" s="1"/>
  <c r="V129" i="7" a="1"/>
  <c r="V129" i="7" s="1"/>
  <c r="I129" i="7" a="1"/>
  <c r="I129" i="7" s="1"/>
  <c r="J129" i="7" a="1"/>
  <c r="J129" i="7" s="1"/>
  <c r="K129" i="7" a="1"/>
  <c r="K129" i="7" s="1"/>
  <c r="L117" i="7" a="1"/>
  <c r="L117" i="7" s="1"/>
  <c r="W117" i="7" a="1"/>
  <c r="W117" i="7" s="1"/>
  <c r="M117" i="7" a="1"/>
  <c r="M117" i="7" s="1"/>
  <c r="N117" i="7" a="1"/>
  <c r="N117" i="7" s="1"/>
  <c r="O117" i="7" a="1"/>
  <c r="O117" i="7" s="1"/>
  <c r="D117" i="7" a="1"/>
  <c r="D117" i="7" s="1"/>
  <c r="P117" i="7" a="1"/>
  <c r="P117" i="7" s="1"/>
  <c r="E117" i="7" a="1"/>
  <c r="E117" i="7" s="1"/>
  <c r="Q117" i="7" a="1"/>
  <c r="Q117" i="7" s="1"/>
  <c r="F117" i="7" a="1"/>
  <c r="F117" i="7" s="1"/>
  <c r="R117" i="7" a="1"/>
  <c r="R117" i="7" s="1"/>
  <c r="G117" i="7" a="1"/>
  <c r="G117" i="7" s="1"/>
  <c r="S117" i="7" a="1"/>
  <c r="S117" i="7" s="1"/>
  <c r="H117" i="7" a="1"/>
  <c r="H117" i="7" s="1"/>
  <c r="T117" i="7" a="1"/>
  <c r="T117" i="7" s="1"/>
  <c r="I117" i="7" a="1"/>
  <c r="I117" i="7" s="1"/>
  <c r="U117" i="7" a="1"/>
  <c r="U117" i="7" s="1"/>
  <c r="J117" i="7" a="1"/>
  <c r="J117" i="7" s="1"/>
  <c r="V117" i="7" a="1"/>
  <c r="V117" i="7" s="1"/>
  <c r="K117" i="7" a="1"/>
  <c r="K117" i="7" s="1"/>
  <c r="E105" i="7" a="1"/>
  <c r="E105" i="7" s="1"/>
  <c r="O105" i="7" a="1"/>
  <c r="O105" i="7" s="1"/>
  <c r="H105" i="7" a="1"/>
  <c r="H105" i="7" s="1"/>
  <c r="Q105" i="7" a="1"/>
  <c r="Q105" i="7" s="1"/>
  <c r="I105" i="7" a="1"/>
  <c r="I105" i="7" s="1"/>
  <c r="N105" i="7" a="1"/>
  <c r="N105" i="7" s="1"/>
  <c r="P105" i="7" a="1"/>
  <c r="P105" i="7" s="1"/>
  <c r="D105" i="7" a="1"/>
  <c r="D105" i="7" s="1"/>
  <c r="R105" i="7" a="1"/>
  <c r="R105" i="7" s="1"/>
  <c r="F105" i="7" a="1"/>
  <c r="F105" i="7" s="1"/>
  <c r="S105" i="7" a="1"/>
  <c r="S105" i="7" s="1"/>
  <c r="G105" i="7" a="1"/>
  <c r="G105" i="7" s="1"/>
  <c r="T105" i="7" a="1"/>
  <c r="T105" i="7" s="1"/>
  <c r="J105" i="7" a="1"/>
  <c r="J105" i="7" s="1"/>
  <c r="U105" i="7" a="1"/>
  <c r="U105" i="7" s="1"/>
  <c r="K105" i="7" a="1"/>
  <c r="K105" i="7" s="1"/>
  <c r="V105" i="7" a="1"/>
  <c r="V105" i="7" s="1"/>
  <c r="L105" i="7" a="1"/>
  <c r="L105" i="7" s="1"/>
  <c r="D93" i="7" a="1"/>
  <c r="D93" i="7" s="1"/>
  <c r="P93" i="7" a="1"/>
  <c r="P93" i="7" s="1"/>
  <c r="M93" i="7" a="1"/>
  <c r="M93" i="7" s="1"/>
  <c r="N93" i="7" a="1"/>
  <c r="N93" i="7" s="1"/>
  <c r="O93" i="7" a="1"/>
  <c r="O93" i="7" s="1"/>
  <c r="Q93" i="7" a="1"/>
  <c r="Q93" i="7" s="1"/>
  <c r="E93" i="7" a="1"/>
  <c r="E93" i="7" s="1"/>
  <c r="R93" i="7" a="1"/>
  <c r="R93" i="7" s="1"/>
  <c r="F93" i="7" a="1"/>
  <c r="F93" i="7" s="1"/>
  <c r="S93" i="7" a="1"/>
  <c r="S93" i="7" s="1"/>
  <c r="J93" i="7" a="1"/>
  <c r="J93" i="7" s="1"/>
  <c r="K93" i="7" a="1"/>
  <c r="K93" i="7" s="1"/>
  <c r="L93" i="7" a="1"/>
  <c r="L93" i="7" s="1"/>
  <c r="T93" i="7" a="1"/>
  <c r="T93" i="7" s="1"/>
  <c r="U93" i="7" a="1"/>
  <c r="U93" i="7" s="1"/>
  <c r="V93" i="7" a="1"/>
  <c r="V93" i="7" s="1"/>
  <c r="W93" i="7" a="1"/>
  <c r="W93" i="7" s="1"/>
  <c r="G93" i="7" a="1"/>
  <c r="G93" i="7" s="1"/>
  <c r="H93" i="7" a="1"/>
  <c r="H93" i="7" s="1"/>
  <c r="I93" i="7" a="1"/>
  <c r="I93" i="7" s="1"/>
  <c r="H81" i="7" a="1"/>
  <c r="H81" i="7" s="1"/>
  <c r="Q81" i="7" a="1"/>
  <c r="Q81" i="7" s="1"/>
  <c r="I81" i="7" a="1"/>
  <c r="I81" i="7" s="1"/>
  <c r="R81" i="7" a="1"/>
  <c r="R81" i="7" s="1"/>
  <c r="J81" i="7" a="1"/>
  <c r="J81" i="7" s="1"/>
  <c r="K81" i="7" a="1"/>
  <c r="K81" i="7" s="1"/>
  <c r="V81" i="7" a="1"/>
  <c r="V81" i="7" s="1"/>
  <c r="L81" i="7" a="1"/>
  <c r="L81" i="7" s="1"/>
  <c r="W81" i="7" a="1"/>
  <c r="W81" i="7" s="1"/>
  <c r="M81" i="7" a="1"/>
  <c r="M81" i="7" s="1"/>
  <c r="N81" i="7" a="1"/>
  <c r="N81" i="7" s="1"/>
  <c r="D81" i="7" a="1"/>
  <c r="D81" i="7" s="1"/>
  <c r="O81" i="7" a="1"/>
  <c r="O81" i="7" s="1"/>
  <c r="P81" i="7" a="1"/>
  <c r="P81" i="7" s="1"/>
  <c r="E81" i="7" a="1"/>
  <c r="E81" i="7" s="1"/>
  <c r="S81" i="7" a="1"/>
  <c r="S81" i="7" s="1"/>
  <c r="G81" i="7" a="1"/>
  <c r="G81" i="7" s="1"/>
  <c r="U81" i="7" a="1"/>
  <c r="U81" i="7" s="1"/>
  <c r="F81" i="7" a="1"/>
  <c r="F81" i="7" s="1"/>
  <c r="T81" i="7" a="1"/>
  <c r="T81" i="7" s="1"/>
  <c r="O69" i="7" a="1"/>
  <c r="O69" i="7" s="1"/>
  <c r="V69" i="7" a="1"/>
  <c r="V69" i="7" s="1"/>
  <c r="F69" i="7" a="1"/>
  <c r="F69" i="7" s="1"/>
  <c r="W69" i="7" a="1"/>
  <c r="W69" i="7" s="1"/>
  <c r="P69" i="7" a="1"/>
  <c r="P69" i="7" s="1"/>
  <c r="Q69" i="7" a="1"/>
  <c r="Q69" i="7" s="1"/>
  <c r="M69" i="7" a="1"/>
  <c r="M69" i="7" s="1"/>
  <c r="N69" i="7" a="1"/>
  <c r="N69" i="7" s="1"/>
  <c r="D69" i="7" a="1"/>
  <c r="D69" i="7" s="1"/>
  <c r="R69" i="7" a="1"/>
  <c r="R69" i="7" s="1"/>
  <c r="E69" i="7" a="1"/>
  <c r="E69" i="7" s="1"/>
  <c r="G69" i="7" a="1"/>
  <c r="G69" i="7" s="1"/>
  <c r="S69" i="7" a="1"/>
  <c r="S69" i="7" s="1"/>
  <c r="H69" i="7" a="1"/>
  <c r="H69" i="7" s="1"/>
  <c r="I69" i="7" a="1"/>
  <c r="I69" i="7" s="1"/>
  <c r="T69" i="7" a="1"/>
  <c r="T69" i="7" s="1"/>
  <c r="J69" i="7" a="1"/>
  <c r="J69" i="7" s="1"/>
  <c r="U69" i="7" a="1"/>
  <c r="U69" i="7" s="1"/>
  <c r="L69" i="7" a="1"/>
  <c r="L69" i="7" s="1"/>
  <c r="K69" i="7" a="1"/>
  <c r="K69" i="7" s="1"/>
  <c r="J57" i="7" a="1"/>
  <c r="J57" i="7" s="1"/>
  <c r="U57" i="7" a="1"/>
  <c r="U57" i="7" s="1"/>
  <c r="K57" i="7" a="1"/>
  <c r="K57" i="7" s="1"/>
  <c r="M57" i="7" a="1"/>
  <c r="M57" i="7" s="1"/>
  <c r="W57" i="7" a="1"/>
  <c r="W57" i="7" s="1"/>
  <c r="D57" i="7" a="1"/>
  <c r="D57" i="7" s="1"/>
  <c r="N57" i="7" a="1"/>
  <c r="N57" i="7" s="1"/>
  <c r="E57" i="7" a="1"/>
  <c r="E57" i="7" s="1"/>
  <c r="O57" i="7" a="1"/>
  <c r="O57" i="7" s="1"/>
  <c r="F57" i="7" a="1"/>
  <c r="F57" i="7" s="1"/>
  <c r="G57" i="7" a="1"/>
  <c r="G57" i="7" s="1"/>
  <c r="P57" i="7" a="1"/>
  <c r="P57" i="7" s="1"/>
  <c r="Q57" i="7" a="1"/>
  <c r="Q57" i="7" s="1"/>
  <c r="H57" i="7" a="1"/>
  <c r="H57" i="7" s="1"/>
  <c r="L57" i="7" a="1"/>
  <c r="L57" i="7" s="1"/>
  <c r="R57" i="7" a="1"/>
  <c r="R57" i="7" s="1"/>
  <c r="T57" i="7" a="1"/>
  <c r="T57" i="7" s="1"/>
  <c r="V57" i="7" a="1"/>
  <c r="V57" i="7" s="1"/>
  <c r="I57" i="7" a="1"/>
  <c r="I57" i="7" s="1"/>
  <c r="S57" i="7" a="1"/>
  <c r="S57" i="7" s="1"/>
  <c r="G45" i="7" a="1"/>
  <c r="G45" i="7" s="1"/>
  <c r="S45" i="7" a="1"/>
  <c r="S45" i="7" s="1"/>
  <c r="H45" i="7" a="1"/>
  <c r="H45" i="7" s="1"/>
  <c r="T45" i="7" a="1"/>
  <c r="T45" i="7" s="1"/>
  <c r="J45" i="7" a="1"/>
  <c r="J45" i="7" s="1"/>
  <c r="V45" i="7" a="1"/>
  <c r="V45" i="7" s="1"/>
  <c r="K45" i="7" a="1"/>
  <c r="K45" i="7" s="1"/>
  <c r="W45" i="7" a="1"/>
  <c r="W45" i="7" s="1"/>
  <c r="L45" i="7" a="1"/>
  <c r="L45" i="7" s="1"/>
  <c r="M45" i="7" a="1"/>
  <c r="M45" i="7" s="1"/>
  <c r="N45" i="7" a="1"/>
  <c r="N45" i="7" s="1"/>
  <c r="O45" i="7" a="1"/>
  <c r="O45" i="7" s="1"/>
  <c r="D45" i="7" a="1"/>
  <c r="D45" i="7" s="1"/>
  <c r="P45" i="7" a="1"/>
  <c r="P45" i="7" s="1"/>
  <c r="E45" i="7" a="1"/>
  <c r="E45" i="7" s="1"/>
  <c r="F45" i="7" a="1"/>
  <c r="F45" i="7" s="1"/>
  <c r="I45" i="7" a="1"/>
  <c r="I45" i="7" s="1"/>
  <c r="Q45" i="7" a="1"/>
  <c r="Q45" i="7" s="1"/>
  <c r="R45" i="7" a="1"/>
  <c r="R45" i="7" s="1"/>
  <c r="U45" i="7" a="1"/>
  <c r="U45" i="7" s="1"/>
  <c r="L172" i="7" a="1"/>
  <c r="L172" i="7" s="1"/>
  <c r="K169" i="7" a="1"/>
  <c r="K169" i="7" s="1"/>
  <c r="U167" i="7" a="1"/>
  <c r="U167" i="7" s="1"/>
  <c r="F166" i="7" a="1"/>
  <c r="F166" i="7" s="1"/>
  <c r="K153" i="7" a="1"/>
  <c r="K153" i="7" s="1"/>
  <c r="W133" i="7" a="1"/>
  <c r="W133" i="7" s="1"/>
  <c r="D49" i="7" a="1"/>
  <c r="D49" i="7" s="1"/>
  <c r="N49" i="7" a="1"/>
  <c r="N49" i="7" s="1"/>
  <c r="E49" i="7" a="1"/>
  <c r="E49" i="7" s="1"/>
  <c r="O49" i="7" a="1"/>
  <c r="O49" i="7" s="1"/>
  <c r="G49" i="7" a="1"/>
  <c r="G49" i="7" s="1"/>
  <c r="Q49" i="7" a="1"/>
  <c r="Q49" i="7" s="1"/>
  <c r="H49" i="7" a="1"/>
  <c r="H49" i="7" s="1"/>
  <c r="R49" i="7" a="1"/>
  <c r="R49" i="7" s="1"/>
  <c r="I49" i="7" a="1"/>
  <c r="I49" i="7" s="1"/>
  <c r="S49" i="7" a="1"/>
  <c r="S49" i="7" s="1"/>
  <c r="J49" i="7" a="1"/>
  <c r="J49" i="7" s="1"/>
  <c r="K49" i="7" a="1"/>
  <c r="K49" i="7" s="1"/>
  <c r="T49" i="7" a="1"/>
  <c r="T49" i="7" s="1"/>
  <c r="L49" i="7" a="1"/>
  <c r="L49" i="7" s="1"/>
  <c r="U49" i="7" a="1"/>
  <c r="U49" i="7" s="1"/>
  <c r="F49" i="7" a="1"/>
  <c r="F49" i="7" s="1"/>
  <c r="M49" i="7" a="1"/>
  <c r="M49" i="7" s="1"/>
  <c r="V49" i="7" a="1"/>
  <c r="V49" i="7" s="1"/>
  <c r="W49" i="7" a="1"/>
  <c r="W49" i="7" s="1"/>
  <c r="P49" i="7" a="1"/>
  <c r="P49" i="7" s="1"/>
  <c r="F156" i="7" a="1"/>
  <c r="F156" i="7" s="1"/>
  <c r="M156" i="7" a="1"/>
  <c r="M156" i="7" s="1"/>
  <c r="T156" i="7" a="1"/>
  <c r="T156" i="7" s="1"/>
  <c r="U156" i="7" a="1"/>
  <c r="U156" i="7" s="1"/>
  <c r="G156" i="7" a="1"/>
  <c r="G156" i="7" s="1"/>
  <c r="N156" i="7" a="1"/>
  <c r="N156" i="7" s="1"/>
  <c r="O156" i="7" a="1"/>
  <c r="O156" i="7" s="1"/>
  <c r="V156" i="7" a="1"/>
  <c r="V156" i="7" s="1"/>
  <c r="H156" i="7" a="1"/>
  <c r="H156" i="7" s="1"/>
  <c r="W156" i="7" a="1"/>
  <c r="W156" i="7" s="1"/>
  <c r="I156" i="7" a="1"/>
  <c r="I156" i="7" s="1"/>
  <c r="P156" i="7" a="1"/>
  <c r="P156" i="7" s="1"/>
  <c r="Q156" i="7" a="1"/>
  <c r="Q156" i="7" s="1"/>
  <c r="J156" i="7" a="1"/>
  <c r="J156" i="7" s="1"/>
  <c r="K156" i="7" a="1"/>
  <c r="K156" i="7" s="1"/>
  <c r="R156" i="7" a="1"/>
  <c r="R156" i="7" s="1"/>
  <c r="D156" i="7" a="1"/>
  <c r="D156" i="7" s="1"/>
  <c r="S156" i="7" a="1"/>
  <c r="S156" i="7" s="1"/>
  <c r="F164" i="7" a="1"/>
  <c r="F164" i="7" s="1"/>
  <c r="N164" i="7" a="1"/>
  <c r="N164" i="7" s="1"/>
  <c r="V164" i="7" a="1"/>
  <c r="V164" i="7" s="1"/>
  <c r="G164" i="7" a="1"/>
  <c r="G164" i="7" s="1"/>
  <c r="O164" i="7" a="1"/>
  <c r="O164" i="7" s="1"/>
  <c r="W164" i="7" a="1"/>
  <c r="W164" i="7" s="1"/>
  <c r="H164" i="7" a="1"/>
  <c r="H164" i="7" s="1"/>
  <c r="P164" i="7" a="1"/>
  <c r="P164" i="7" s="1"/>
  <c r="I164" i="7" a="1"/>
  <c r="I164" i="7" s="1"/>
  <c r="Q164" i="7" a="1"/>
  <c r="Q164" i="7" s="1"/>
  <c r="J164" i="7" a="1"/>
  <c r="J164" i="7" s="1"/>
  <c r="R164" i="7" a="1"/>
  <c r="R164" i="7" s="1"/>
  <c r="K164" i="7" a="1"/>
  <c r="K164" i="7" s="1"/>
  <c r="S164" i="7" a="1"/>
  <c r="S164" i="7" s="1"/>
  <c r="D164" i="7" a="1"/>
  <c r="D164" i="7" s="1"/>
  <c r="L164" i="7" a="1"/>
  <c r="L164" i="7" s="1"/>
  <c r="T164" i="7" a="1"/>
  <c r="T164" i="7" s="1"/>
  <c r="E152" i="7" a="1"/>
  <c r="E152" i="7" s="1"/>
  <c r="F152" i="7" a="1"/>
  <c r="F152" i="7" s="1"/>
  <c r="O152" i="7" a="1"/>
  <c r="O152" i="7" s="1"/>
  <c r="G152" i="7" a="1"/>
  <c r="G152" i="7" s="1"/>
  <c r="P152" i="7" a="1"/>
  <c r="P152" i="7" s="1"/>
  <c r="H152" i="7" a="1"/>
  <c r="H152" i="7" s="1"/>
  <c r="Q152" i="7" a="1"/>
  <c r="Q152" i="7" s="1"/>
  <c r="I152" i="7" a="1"/>
  <c r="I152" i="7" s="1"/>
  <c r="J152" i="7" a="1"/>
  <c r="J152" i="7" s="1"/>
  <c r="R152" i="7" a="1"/>
  <c r="R152" i="7" s="1"/>
  <c r="K152" i="7" a="1"/>
  <c r="K152" i="7" s="1"/>
  <c r="S152" i="7" a="1"/>
  <c r="S152" i="7" s="1"/>
  <c r="L152" i="7" a="1"/>
  <c r="L152" i="7" s="1"/>
  <c r="T152" i="7" a="1"/>
  <c r="T152" i="7" s="1"/>
  <c r="U152" i="7" a="1"/>
  <c r="U152" i="7" s="1"/>
  <c r="F140" i="7" a="1"/>
  <c r="F140" i="7" s="1"/>
  <c r="P140" i="7" a="1"/>
  <c r="P140" i="7" s="1"/>
  <c r="Q140" i="7" a="1"/>
  <c r="Q140" i="7" s="1"/>
  <c r="G140" i="7" a="1"/>
  <c r="G140" i="7" s="1"/>
  <c r="J140" i="7" a="1"/>
  <c r="J140" i="7" s="1"/>
  <c r="S140" i="7" a="1"/>
  <c r="S140" i="7" s="1"/>
  <c r="K140" i="7" a="1"/>
  <c r="K140" i="7" s="1"/>
  <c r="L140" i="7" a="1"/>
  <c r="L140" i="7" s="1"/>
  <c r="M140" i="7" a="1"/>
  <c r="M140" i="7" s="1"/>
  <c r="N140" i="7" a="1"/>
  <c r="N140" i="7" s="1"/>
  <c r="O140" i="7" a="1"/>
  <c r="O140" i="7" s="1"/>
  <c r="D140" i="7" a="1"/>
  <c r="D140" i="7" s="1"/>
  <c r="R140" i="7" a="1"/>
  <c r="R140" i="7" s="1"/>
  <c r="E140" i="7" a="1"/>
  <c r="E140" i="7" s="1"/>
  <c r="T140" i="7" a="1"/>
  <c r="T140" i="7" s="1"/>
  <c r="U140" i="7" a="1"/>
  <c r="U140" i="7" s="1"/>
  <c r="K128" i="7" a="1"/>
  <c r="K128" i="7" s="1"/>
  <c r="U128" i="7" a="1"/>
  <c r="U128" i="7" s="1"/>
  <c r="L128" i="7" a="1"/>
  <c r="L128" i="7" s="1"/>
  <c r="V128" i="7" a="1"/>
  <c r="V128" i="7" s="1"/>
  <c r="W128" i="7" a="1"/>
  <c r="W128" i="7" s="1"/>
  <c r="M128" i="7" a="1"/>
  <c r="M128" i="7" s="1"/>
  <c r="N128" i="7" a="1"/>
  <c r="N128" i="7" s="1"/>
  <c r="D128" i="7" a="1"/>
  <c r="D128" i="7" s="1"/>
  <c r="O128" i="7" a="1"/>
  <c r="O128" i="7" s="1"/>
  <c r="E128" i="7" a="1"/>
  <c r="E128" i="7" s="1"/>
  <c r="P128" i="7" a="1"/>
  <c r="P128" i="7" s="1"/>
  <c r="F128" i="7" a="1"/>
  <c r="F128" i="7" s="1"/>
  <c r="Q128" i="7" a="1"/>
  <c r="Q128" i="7" s="1"/>
  <c r="I128" i="7" a="1"/>
  <c r="I128" i="7" s="1"/>
  <c r="H128" i="7" a="1"/>
  <c r="H128" i="7" s="1"/>
  <c r="J128" i="7" a="1"/>
  <c r="J128" i="7" s="1"/>
  <c r="R128" i="7" a="1"/>
  <c r="R128" i="7" s="1"/>
  <c r="S128" i="7" a="1"/>
  <c r="S128" i="7" s="1"/>
  <c r="T128" i="7" a="1"/>
  <c r="T128" i="7" s="1"/>
  <c r="J116" i="7" a="1"/>
  <c r="J116" i="7" s="1"/>
  <c r="K116" i="7" a="1"/>
  <c r="K116" i="7" s="1"/>
  <c r="U116" i="7" a="1"/>
  <c r="U116" i="7" s="1"/>
  <c r="L116" i="7" a="1"/>
  <c r="L116" i="7" s="1"/>
  <c r="V116" i="7" a="1"/>
  <c r="V116" i="7" s="1"/>
  <c r="M116" i="7" a="1"/>
  <c r="M116" i="7" s="1"/>
  <c r="W116" i="7" a="1"/>
  <c r="W116" i="7" s="1"/>
  <c r="N116" i="7" a="1"/>
  <c r="N116" i="7" s="1"/>
  <c r="D116" i="7" a="1"/>
  <c r="D116" i="7" s="1"/>
  <c r="E116" i="7" a="1"/>
  <c r="E116" i="7" s="1"/>
  <c r="O116" i="7" a="1"/>
  <c r="O116" i="7" s="1"/>
  <c r="F116" i="7" a="1"/>
  <c r="F116" i="7" s="1"/>
  <c r="P116" i="7" a="1"/>
  <c r="P116" i="7" s="1"/>
  <c r="G116" i="7" a="1"/>
  <c r="G116" i="7" s="1"/>
  <c r="Q116" i="7" a="1"/>
  <c r="Q116" i="7" s="1"/>
  <c r="H116" i="7" a="1"/>
  <c r="H116" i="7" s="1"/>
  <c r="R116" i="7" a="1"/>
  <c r="R116" i="7" s="1"/>
  <c r="S116" i="7" a="1"/>
  <c r="S116" i="7" s="1"/>
  <c r="M104" i="7" a="1"/>
  <c r="M104" i="7" s="1"/>
  <c r="D104" i="7" a="1"/>
  <c r="D104" i="7" s="1"/>
  <c r="P104" i="7" a="1"/>
  <c r="P104" i="7" s="1"/>
  <c r="E104" i="7" a="1"/>
  <c r="E104" i="7" s="1"/>
  <c r="Q104" i="7" a="1"/>
  <c r="Q104" i="7" s="1"/>
  <c r="S104" i="7" a="1"/>
  <c r="S104" i="7" s="1"/>
  <c r="T104" i="7" a="1"/>
  <c r="T104" i="7" s="1"/>
  <c r="F104" i="7" a="1"/>
  <c r="F104" i="7" s="1"/>
  <c r="U104" i="7" a="1"/>
  <c r="U104" i="7" s="1"/>
  <c r="G104" i="7" a="1"/>
  <c r="G104" i="7" s="1"/>
  <c r="V104" i="7" a="1"/>
  <c r="V104" i="7" s="1"/>
  <c r="H104" i="7" a="1"/>
  <c r="H104" i="7" s="1"/>
  <c r="W104" i="7" a="1"/>
  <c r="W104" i="7" s="1"/>
  <c r="I104" i="7" a="1"/>
  <c r="I104" i="7" s="1"/>
  <c r="J104" i="7" a="1"/>
  <c r="J104" i="7" s="1"/>
  <c r="K104" i="7" a="1"/>
  <c r="K104" i="7" s="1"/>
  <c r="L104" i="7" a="1"/>
  <c r="L104" i="7" s="1"/>
  <c r="N104" i="7" a="1"/>
  <c r="N104" i="7" s="1"/>
  <c r="O104" i="7" a="1"/>
  <c r="O104" i="7" s="1"/>
  <c r="R104" i="7" a="1"/>
  <c r="R104" i="7" s="1"/>
  <c r="M92" i="7" a="1"/>
  <c r="M92" i="7" s="1"/>
  <c r="I92" i="7" a="1"/>
  <c r="I92" i="7" s="1"/>
  <c r="T92" i="7" a="1"/>
  <c r="T92" i="7" s="1"/>
  <c r="J92" i="7" a="1"/>
  <c r="J92" i="7" s="1"/>
  <c r="U92" i="7" a="1"/>
  <c r="U92" i="7" s="1"/>
  <c r="K92" i="7" a="1"/>
  <c r="K92" i="7" s="1"/>
  <c r="V92" i="7" a="1"/>
  <c r="V92" i="7" s="1"/>
  <c r="L92" i="7" a="1"/>
  <c r="L92" i="7" s="1"/>
  <c r="W92" i="7" a="1"/>
  <c r="W92" i="7" s="1"/>
  <c r="N92" i="7" a="1"/>
  <c r="N92" i="7" s="1"/>
  <c r="F92" i="7" a="1"/>
  <c r="F92" i="7" s="1"/>
  <c r="G92" i="7" a="1"/>
  <c r="G92" i="7" s="1"/>
  <c r="H92" i="7" a="1"/>
  <c r="H92" i="7" s="1"/>
  <c r="O92" i="7" a="1"/>
  <c r="O92" i="7" s="1"/>
  <c r="P92" i="7" a="1"/>
  <c r="P92" i="7" s="1"/>
  <c r="Q92" i="7" a="1"/>
  <c r="Q92" i="7" s="1"/>
  <c r="R92" i="7" a="1"/>
  <c r="R92" i="7" s="1"/>
  <c r="S92" i="7" a="1"/>
  <c r="S92" i="7" s="1"/>
  <c r="D92" i="7" a="1"/>
  <c r="D92" i="7" s="1"/>
  <c r="E92" i="7" a="1"/>
  <c r="E92" i="7" s="1"/>
  <c r="S80" i="7" a="1"/>
  <c r="S80" i="7" s="1"/>
  <c r="K80" i="7" a="1"/>
  <c r="K80" i="7" s="1"/>
  <c r="T80" i="7" a="1"/>
  <c r="T80" i="7" s="1"/>
  <c r="U80" i="7" a="1"/>
  <c r="U80" i="7" s="1"/>
  <c r="F80" i="7" a="1"/>
  <c r="F80" i="7" s="1"/>
  <c r="P80" i="7" a="1"/>
  <c r="P80" i="7" s="1"/>
  <c r="G80" i="7" a="1"/>
  <c r="G80" i="7" s="1"/>
  <c r="Q80" i="7" a="1"/>
  <c r="Q80" i="7" s="1"/>
  <c r="H80" i="7" a="1"/>
  <c r="H80" i="7" s="1"/>
  <c r="R80" i="7" a="1"/>
  <c r="R80" i="7" s="1"/>
  <c r="I80" i="7" a="1"/>
  <c r="I80" i="7" s="1"/>
  <c r="V80" i="7" a="1"/>
  <c r="V80" i="7" s="1"/>
  <c r="J80" i="7" a="1"/>
  <c r="J80" i="7" s="1"/>
  <c r="W80" i="7" a="1"/>
  <c r="W80" i="7" s="1"/>
  <c r="L80" i="7" a="1"/>
  <c r="L80" i="7" s="1"/>
  <c r="M80" i="7" a="1"/>
  <c r="M80" i="7" s="1"/>
  <c r="N80" i="7" a="1"/>
  <c r="N80" i="7" s="1"/>
  <c r="E80" i="7" a="1"/>
  <c r="E80" i="7" s="1"/>
  <c r="D80" i="7" a="1"/>
  <c r="D80" i="7" s="1"/>
  <c r="O80" i="7" a="1"/>
  <c r="O80" i="7" s="1"/>
  <c r="I68" i="7" a="1"/>
  <c r="I68" i="7" s="1"/>
  <c r="P68" i="7" a="1"/>
  <c r="P68" i="7" s="1"/>
  <c r="J68" i="7" a="1"/>
  <c r="J68" i="7" s="1"/>
  <c r="Q68" i="7" a="1"/>
  <c r="Q68" i="7" s="1"/>
  <c r="K68" i="7" a="1"/>
  <c r="K68" i="7" s="1"/>
  <c r="R68" i="7" a="1"/>
  <c r="R68" i="7" s="1"/>
  <c r="L68" i="7" a="1"/>
  <c r="L68" i="7" s="1"/>
  <c r="T68" i="7" a="1"/>
  <c r="T68" i="7" s="1"/>
  <c r="G68" i="7" a="1"/>
  <c r="G68" i="7" s="1"/>
  <c r="V68" i="7" a="1"/>
  <c r="V68" i="7" s="1"/>
  <c r="H68" i="7" a="1"/>
  <c r="H68" i="7" s="1"/>
  <c r="W68" i="7" a="1"/>
  <c r="W68" i="7" s="1"/>
  <c r="M68" i="7" a="1"/>
  <c r="M68" i="7" s="1"/>
  <c r="N68" i="7" a="1"/>
  <c r="N68" i="7" s="1"/>
  <c r="O68" i="7" a="1"/>
  <c r="O68" i="7" s="1"/>
  <c r="D68" i="7" a="1"/>
  <c r="D68" i="7" s="1"/>
  <c r="F68" i="7" a="1"/>
  <c r="F68" i="7" s="1"/>
  <c r="U68" i="7" a="1"/>
  <c r="U68" i="7" s="1"/>
  <c r="E68" i="7" a="1"/>
  <c r="E68" i="7" s="1"/>
  <c r="S68" i="7" a="1"/>
  <c r="S68" i="7" s="1"/>
  <c r="L56" i="7" a="1"/>
  <c r="L56" i="7" s="1"/>
  <c r="U56" i="7" a="1"/>
  <c r="U56" i="7" s="1"/>
  <c r="M56" i="7" a="1"/>
  <c r="M56" i="7" s="1"/>
  <c r="V56" i="7" a="1"/>
  <c r="V56" i="7" s="1"/>
  <c r="E56" i="7" a="1"/>
  <c r="E56" i="7" s="1"/>
  <c r="N56" i="7" a="1"/>
  <c r="N56" i="7" s="1"/>
  <c r="O56" i="7" a="1"/>
  <c r="O56" i="7" s="1"/>
  <c r="F56" i="7" a="1"/>
  <c r="F56" i="7" s="1"/>
  <c r="P56" i="7" a="1"/>
  <c r="P56" i="7" s="1"/>
  <c r="G56" i="7" a="1"/>
  <c r="G56" i="7" s="1"/>
  <c r="Q56" i="7" a="1"/>
  <c r="Q56" i="7" s="1"/>
  <c r="H56" i="7" a="1"/>
  <c r="H56" i="7" s="1"/>
  <c r="I56" i="7" a="1"/>
  <c r="I56" i="7" s="1"/>
  <c r="R56" i="7" a="1"/>
  <c r="R56" i="7" s="1"/>
  <c r="W56" i="7" a="1"/>
  <c r="W56" i="7" s="1"/>
  <c r="D56" i="7" a="1"/>
  <c r="D56" i="7" s="1"/>
  <c r="J56" i="7" a="1"/>
  <c r="J56" i="7" s="1"/>
  <c r="T56" i="7" a="1"/>
  <c r="T56" i="7" s="1"/>
  <c r="S56" i="7" a="1"/>
  <c r="S56" i="7" s="1"/>
  <c r="K56" i="7" a="1"/>
  <c r="K56" i="7" s="1"/>
  <c r="O44" i="7" a="1"/>
  <c r="O44" i="7" s="1"/>
  <c r="D44" i="7" a="1"/>
  <c r="D44" i="7" s="1"/>
  <c r="P44" i="7" a="1"/>
  <c r="P44" i="7" s="1"/>
  <c r="F44" i="7" a="1"/>
  <c r="F44" i="7" s="1"/>
  <c r="R44" i="7" a="1"/>
  <c r="R44" i="7" s="1"/>
  <c r="G44" i="7" a="1"/>
  <c r="G44" i="7" s="1"/>
  <c r="S44" i="7" a="1"/>
  <c r="S44" i="7" s="1"/>
  <c r="H44" i="7" a="1"/>
  <c r="H44" i="7" s="1"/>
  <c r="T44" i="7" a="1"/>
  <c r="T44" i="7" s="1"/>
  <c r="I44" i="7" a="1"/>
  <c r="I44" i="7" s="1"/>
  <c r="U44" i="7" a="1"/>
  <c r="U44" i="7" s="1"/>
  <c r="J44" i="7" a="1"/>
  <c r="J44" i="7" s="1"/>
  <c r="V44" i="7" a="1"/>
  <c r="V44" i="7" s="1"/>
  <c r="K44" i="7" a="1"/>
  <c r="K44" i="7" s="1"/>
  <c r="W44" i="7" a="1"/>
  <c r="W44" i="7" s="1"/>
  <c r="L44" i="7" a="1"/>
  <c r="L44" i="7" s="1"/>
  <c r="E44" i="7" a="1"/>
  <c r="E44" i="7" s="1"/>
  <c r="M44" i="7" a="1"/>
  <c r="M44" i="7" s="1"/>
  <c r="N44" i="7" a="1"/>
  <c r="N44" i="7" s="1"/>
  <c r="Q44" i="7" a="1"/>
  <c r="Q44" i="7" s="1"/>
  <c r="P23" i="7" a="1"/>
  <c r="P23" i="7" s="1"/>
  <c r="F172" i="7" a="1"/>
  <c r="F172" i="7" s="1"/>
  <c r="E169" i="7" a="1"/>
  <c r="E169" i="7" s="1"/>
  <c r="M160" i="7" a="1"/>
  <c r="M160" i="7" s="1"/>
  <c r="Q143" i="7" a="1"/>
  <c r="Q143" i="7" s="1"/>
  <c r="V133" i="7" a="1"/>
  <c r="V133" i="7" s="1"/>
  <c r="I116" i="7" a="1"/>
  <c r="I116" i="7" s="1"/>
  <c r="E85" i="7" a="1"/>
  <c r="E85" i="7" s="1"/>
  <c r="N85" i="7" a="1"/>
  <c r="N85" i="7" s="1"/>
  <c r="V85" i="7" a="1"/>
  <c r="V85" i="7" s="1"/>
  <c r="O85" i="7" a="1"/>
  <c r="O85" i="7" s="1"/>
  <c r="D85" i="7" a="1"/>
  <c r="D85" i="7" s="1"/>
  <c r="P85" i="7" a="1"/>
  <c r="P85" i="7" s="1"/>
  <c r="F85" i="7" a="1"/>
  <c r="F85" i="7" s="1"/>
  <c r="G85" i="7" a="1"/>
  <c r="G85" i="7" s="1"/>
  <c r="Q85" i="7" a="1"/>
  <c r="Q85" i="7" s="1"/>
  <c r="H85" i="7" a="1"/>
  <c r="H85" i="7" s="1"/>
  <c r="R85" i="7" a="1"/>
  <c r="R85" i="7" s="1"/>
  <c r="I85" i="7" a="1"/>
  <c r="I85" i="7" s="1"/>
  <c r="S85" i="7" a="1"/>
  <c r="S85" i="7" s="1"/>
  <c r="J85" i="7" a="1"/>
  <c r="J85" i="7" s="1"/>
  <c r="K85" i="7" a="1"/>
  <c r="K85" i="7" s="1"/>
  <c r="T85" i="7" a="1"/>
  <c r="T85" i="7" s="1"/>
  <c r="L85" i="7" a="1"/>
  <c r="L85" i="7" s="1"/>
  <c r="U85" i="7" a="1"/>
  <c r="U85" i="7" s="1"/>
  <c r="M85" i="7" a="1"/>
  <c r="M85" i="7" s="1"/>
  <c r="W85" i="7" a="1"/>
  <c r="W85" i="7" s="1"/>
  <c r="J163" i="7" a="1"/>
  <c r="J163" i="7" s="1"/>
  <c r="R163" i="7" a="1"/>
  <c r="R163" i="7" s="1"/>
  <c r="K163" i="7" a="1"/>
  <c r="K163" i="7" s="1"/>
  <c r="S163" i="7" a="1"/>
  <c r="S163" i="7" s="1"/>
  <c r="D163" i="7" a="1"/>
  <c r="D163" i="7" s="1"/>
  <c r="L163" i="7" a="1"/>
  <c r="L163" i="7" s="1"/>
  <c r="T163" i="7" a="1"/>
  <c r="T163" i="7" s="1"/>
  <c r="E163" i="7" a="1"/>
  <c r="E163" i="7" s="1"/>
  <c r="M163" i="7" a="1"/>
  <c r="M163" i="7" s="1"/>
  <c r="U163" i="7" a="1"/>
  <c r="U163" i="7" s="1"/>
  <c r="F163" i="7" a="1"/>
  <c r="F163" i="7" s="1"/>
  <c r="N163" i="7" a="1"/>
  <c r="N163" i="7" s="1"/>
  <c r="V163" i="7" a="1"/>
  <c r="V163" i="7" s="1"/>
  <c r="G163" i="7" a="1"/>
  <c r="G163" i="7" s="1"/>
  <c r="O163" i="7" a="1"/>
  <c r="O163" i="7" s="1"/>
  <c r="W163" i="7" a="1"/>
  <c r="W163" i="7" s="1"/>
  <c r="H163" i="7" a="1"/>
  <c r="H163" i="7" s="1"/>
  <c r="P163" i="7" a="1"/>
  <c r="P163" i="7" s="1"/>
  <c r="G151" i="7" a="1"/>
  <c r="G151" i="7" s="1"/>
  <c r="P151" i="7" a="1"/>
  <c r="P151" i="7" s="1"/>
  <c r="H151" i="7" a="1"/>
  <c r="H151" i="7" s="1"/>
  <c r="Q151" i="7" a="1"/>
  <c r="Q151" i="7" s="1"/>
  <c r="I151" i="7" a="1"/>
  <c r="I151" i="7" s="1"/>
  <c r="R151" i="7" a="1"/>
  <c r="R151" i="7" s="1"/>
  <c r="J151" i="7" a="1"/>
  <c r="J151" i="7" s="1"/>
  <c r="S151" i="7" a="1"/>
  <c r="S151" i="7" s="1"/>
  <c r="K151" i="7" a="1"/>
  <c r="K151" i="7" s="1"/>
  <c r="T151" i="7" a="1"/>
  <c r="T151" i="7" s="1"/>
  <c r="L151" i="7" a="1"/>
  <c r="L151" i="7" s="1"/>
  <c r="U151" i="7" a="1"/>
  <c r="U151" i="7" s="1"/>
  <c r="M151" i="7" a="1"/>
  <c r="M151" i="7" s="1"/>
  <c r="V151" i="7" a="1"/>
  <c r="V151" i="7" s="1"/>
  <c r="D151" i="7" a="1"/>
  <c r="D151" i="7" s="1"/>
  <c r="E151" i="7" a="1"/>
  <c r="E151" i="7" s="1"/>
  <c r="N151" i="7" a="1"/>
  <c r="N151" i="7" s="1"/>
  <c r="W151" i="7" a="1"/>
  <c r="W151" i="7" s="1"/>
  <c r="H139" i="7" a="1"/>
  <c r="H139" i="7" s="1"/>
  <c r="Q139" i="7" a="1"/>
  <c r="Q139" i="7" s="1"/>
  <c r="I139" i="7" a="1"/>
  <c r="I139" i="7" s="1"/>
  <c r="R139" i="7" a="1"/>
  <c r="R139" i="7" s="1"/>
  <c r="J139" i="7" a="1"/>
  <c r="J139" i="7" s="1"/>
  <c r="S139" i="7" a="1"/>
  <c r="S139" i="7" s="1"/>
  <c r="L139" i="7" a="1"/>
  <c r="L139" i="7" s="1"/>
  <c r="V139" i="7" a="1"/>
  <c r="V139" i="7" s="1"/>
  <c r="O139" i="7" a="1"/>
  <c r="O139" i="7" s="1"/>
  <c r="P139" i="7" a="1"/>
  <c r="P139" i="7" s="1"/>
  <c r="D139" i="7" a="1"/>
  <c r="D139" i="7" s="1"/>
  <c r="T139" i="7" a="1"/>
  <c r="T139" i="7" s="1"/>
  <c r="E139" i="7" a="1"/>
  <c r="E139" i="7" s="1"/>
  <c r="U139" i="7" a="1"/>
  <c r="U139" i="7" s="1"/>
  <c r="F139" i="7" a="1"/>
  <c r="F139" i="7" s="1"/>
  <c r="G139" i="7" a="1"/>
  <c r="G139" i="7" s="1"/>
  <c r="W139" i="7" a="1"/>
  <c r="W139" i="7" s="1"/>
  <c r="K139" i="7" a="1"/>
  <c r="K139" i="7" s="1"/>
  <c r="M139" i="7" a="1"/>
  <c r="M139" i="7" s="1"/>
  <c r="H127" i="7" a="1"/>
  <c r="H127" i="7" s="1"/>
  <c r="S127" i="7" a="1"/>
  <c r="S127" i="7" s="1"/>
  <c r="T127" i="7" a="1"/>
  <c r="T127" i="7" s="1"/>
  <c r="I127" i="7" a="1"/>
  <c r="I127" i="7" s="1"/>
  <c r="U127" i="7" a="1"/>
  <c r="U127" i="7" s="1"/>
  <c r="J127" i="7" a="1"/>
  <c r="J127" i="7" s="1"/>
  <c r="V127" i="7" a="1"/>
  <c r="V127" i="7" s="1"/>
  <c r="K127" i="7" a="1"/>
  <c r="K127" i="7" s="1"/>
  <c r="W127" i="7" a="1"/>
  <c r="W127" i="7" s="1"/>
  <c r="L127" i="7" a="1"/>
  <c r="L127" i="7" s="1"/>
  <c r="M127" i="7" a="1"/>
  <c r="M127" i="7" s="1"/>
  <c r="N127" i="7" a="1"/>
  <c r="N127" i="7" s="1"/>
  <c r="E127" i="7" a="1"/>
  <c r="E127" i="7" s="1"/>
  <c r="F127" i="7" a="1"/>
  <c r="F127" i="7" s="1"/>
  <c r="Q127" i="7" a="1"/>
  <c r="Q127" i="7" s="1"/>
  <c r="D127" i="7" a="1"/>
  <c r="D127" i="7" s="1"/>
  <c r="G127" i="7" a="1"/>
  <c r="G127" i="7" s="1"/>
  <c r="O127" i="7" a="1"/>
  <c r="O127" i="7" s="1"/>
  <c r="P127" i="7" a="1"/>
  <c r="P127" i="7" s="1"/>
  <c r="T115" i="7" a="1"/>
  <c r="T115" i="7" s="1"/>
  <c r="K115" i="7" a="1"/>
  <c r="K115" i="7" s="1"/>
  <c r="U115" i="7" a="1"/>
  <c r="U115" i="7" s="1"/>
  <c r="L115" i="7" a="1"/>
  <c r="L115" i="7" s="1"/>
  <c r="V115" i="7" a="1"/>
  <c r="V115" i="7" s="1"/>
  <c r="D115" i="7" a="1"/>
  <c r="D115" i="7" s="1"/>
  <c r="M115" i="7" a="1"/>
  <c r="M115" i="7" s="1"/>
  <c r="N115" i="7" a="1"/>
  <c r="N115" i="7" s="1"/>
  <c r="W115" i="7" a="1"/>
  <c r="W115" i="7" s="1"/>
  <c r="E115" i="7" a="1"/>
  <c r="E115" i="7" s="1"/>
  <c r="F115" i="7" a="1"/>
  <c r="F115" i="7" s="1"/>
  <c r="O115" i="7" a="1"/>
  <c r="O115" i="7" s="1"/>
  <c r="G115" i="7" a="1"/>
  <c r="G115" i="7" s="1"/>
  <c r="P115" i="7" a="1"/>
  <c r="P115" i="7" s="1"/>
  <c r="H115" i="7" a="1"/>
  <c r="H115" i="7" s="1"/>
  <c r="Q115" i="7" a="1"/>
  <c r="Q115" i="7" s="1"/>
  <c r="I115" i="7" a="1"/>
  <c r="I115" i="7" s="1"/>
  <c r="R115" i="7" a="1"/>
  <c r="R115" i="7" s="1"/>
  <c r="J115" i="7" a="1"/>
  <c r="J115" i="7" s="1"/>
  <c r="S115" i="7" a="1"/>
  <c r="S115" i="7" s="1"/>
  <c r="I103" i="7" a="1"/>
  <c r="I103" i="7" s="1"/>
  <c r="U103" i="7" a="1"/>
  <c r="U103" i="7" s="1"/>
  <c r="L103" i="7" a="1"/>
  <c r="L103" i="7" s="1"/>
  <c r="M103" i="7" a="1"/>
  <c r="M103" i="7" s="1"/>
  <c r="V103" i="7" a="1"/>
  <c r="V103" i="7" s="1"/>
  <c r="G103" i="7" a="1"/>
  <c r="G103" i="7" s="1"/>
  <c r="W103" i="7" a="1"/>
  <c r="W103" i="7" s="1"/>
  <c r="H103" i="7" a="1"/>
  <c r="H103" i="7" s="1"/>
  <c r="J103" i="7" a="1"/>
  <c r="J103" i="7" s="1"/>
  <c r="K103" i="7" a="1"/>
  <c r="K103" i="7" s="1"/>
  <c r="N103" i="7" a="1"/>
  <c r="N103" i="7" s="1"/>
  <c r="O103" i="7" a="1"/>
  <c r="O103" i="7" s="1"/>
  <c r="P103" i="7" a="1"/>
  <c r="P103" i="7" s="1"/>
  <c r="Q103" i="7" a="1"/>
  <c r="Q103" i="7" s="1"/>
  <c r="D103" i="7" a="1"/>
  <c r="D103" i="7" s="1"/>
  <c r="R103" i="7" a="1"/>
  <c r="R103" i="7" s="1"/>
  <c r="E103" i="7" a="1"/>
  <c r="E103" i="7" s="1"/>
  <c r="S103" i="7" a="1"/>
  <c r="S103" i="7" s="1"/>
  <c r="F103" i="7" a="1"/>
  <c r="F103" i="7" s="1"/>
  <c r="T103" i="7" a="1"/>
  <c r="T103" i="7" s="1"/>
  <c r="W91" i="7" a="1"/>
  <c r="W91" i="7" s="1"/>
  <c r="D91" i="7" a="1"/>
  <c r="D91" i="7" s="1"/>
  <c r="N91" i="7" a="1"/>
  <c r="N91" i="7" s="1"/>
  <c r="F91" i="7" a="1"/>
  <c r="F91" i="7" s="1"/>
  <c r="R91" i="7" a="1"/>
  <c r="R91" i="7" s="1"/>
  <c r="G91" i="7" a="1"/>
  <c r="G91" i="7" s="1"/>
  <c r="S91" i="7" a="1"/>
  <c r="S91" i="7" s="1"/>
  <c r="H91" i="7" a="1"/>
  <c r="H91" i="7" s="1"/>
  <c r="T91" i="7" a="1"/>
  <c r="T91" i="7" s="1"/>
  <c r="I91" i="7" a="1"/>
  <c r="I91" i="7" s="1"/>
  <c r="U91" i="7" a="1"/>
  <c r="U91" i="7" s="1"/>
  <c r="J91" i="7" a="1"/>
  <c r="J91" i="7" s="1"/>
  <c r="V91" i="7" a="1"/>
  <c r="V91" i="7" s="1"/>
  <c r="E91" i="7" a="1"/>
  <c r="E91" i="7" s="1"/>
  <c r="K91" i="7" a="1"/>
  <c r="K91" i="7" s="1"/>
  <c r="L91" i="7" a="1"/>
  <c r="L91" i="7" s="1"/>
  <c r="M91" i="7" a="1"/>
  <c r="M91" i="7" s="1"/>
  <c r="O91" i="7" a="1"/>
  <c r="O91" i="7" s="1"/>
  <c r="P91" i="7" a="1"/>
  <c r="P91" i="7" s="1"/>
  <c r="Q91" i="7" a="1"/>
  <c r="Q91" i="7" s="1"/>
  <c r="D79" i="7" a="1"/>
  <c r="D79" i="7" s="1"/>
  <c r="L79" i="7" a="1"/>
  <c r="L79" i="7" s="1"/>
  <c r="U79" i="7" a="1"/>
  <c r="U79" i="7" s="1"/>
  <c r="M79" i="7" a="1"/>
  <c r="M79" i="7" s="1"/>
  <c r="V79" i="7" a="1"/>
  <c r="V79" i="7" s="1"/>
  <c r="E79" i="7" a="1"/>
  <c r="E79" i="7" s="1"/>
  <c r="N79" i="7" a="1"/>
  <c r="N79" i="7" s="1"/>
  <c r="O79" i="7" a="1"/>
  <c r="O79" i="7" s="1"/>
  <c r="P79" i="7" a="1"/>
  <c r="P79" i="7" s="1"/>
  <c r="Q79" i="7" a="1"/>
  <c r="Q79" i="7" s="1"/>
  <c r="F79" i="7" a="1"/>
  <c r="F79" i="7" s="1"/>
  <c r="R79" i="7" a="1"/>
  <c r="R79" i="7" s="1"/>
  <c r="G79" i="7" a="1"/>
  <c r="G79" i="7" s="1"/>
  <c r="S79" i="7" a="1"/>
  <c r="S79" i="7" s="1"/>
  <c r="H79" i="7" a="1"/>
  <c r="H79" i="7" s="1"/>
  <c r="T79" i="7" a="1"/>
  <c r="T79" i="7" s="1"/>
  <c r="I79" i="7" a="1"/>
  <c r="I79" i="7" s="1"/>
  <c r="W79" i="7" a="1"/>
  <c r="W79" i="7" s="1"/>
  <c r="K79" i="7" a="1"/>
  <c r="K79" i="7" s="1"/>
  <c r="J79" i="7" a="1"/>
  <c r="J79" i="7" s="1"/>
  <c r="E67" i="7" a="1"/>
  <c r="E67" i="7" s="1"/>
  <c r="F67" i="7" a="1"/>
  <c r="F67" i="7" s="1"/>
  <c r="K67" i="7" a="1"/>
  <c r="K67" i="7" s="1"/>
  <c r="U67" i="7" a="1"/>
  <c r="U67" i="7" s="1"/>
  <c r="L67" i="7" a="1"/>
  <c r="L67" i="7" s="1"/>
  <c r="G67" i="7" a="1"/>
  <c r="G67" i="7" s="1"/>
  <c r="N67" i="7" a="1"/>
  <c r="N67" i="7" s="1"/>
  <c r="P67" i="7" a="1"/>
  <c r="P67" i="7" s="1"/>
  <c r="Q67" i="7" a="1"/>
  <c r="Q67" i="7" s="1"/>
  <c r="D67" i="7" a="1"/>
  <c r="D67" i="7" s="1"/>
  <c r="R67" i="7" a="1"/>
  <c r="R67" i="7" s="1"/>
  <c r="S67" i="7" a="1"/>
  <c r="S67" i="7" s="1"/>
  <c r="H67" i="7" a="1"/>
  <c r="H67" i="7" s="1"/>
  <c r="T67" i="7" a="1"/>
  <c r="T67" i="7" s="1"/>
  <c r="I67" i="7" a="1"/>
  <c r="I67" i="7" s="1"/>
  <c r="V67" i="7" a="1"/>
  <c r="V67" i="7" s="1"/>
  <c r="W67" i="7" a="1"/>
  <c r="W67" i="7" s="1"/>
  <c r="J67" i="7" a="1"/>
  <c r="J67" i="7" s="1"/>
  <c r="O67" i="7" a="1"/>
  <c r="O67" i="7" s="1"/>
  <c r="M67" i="7" a="1"/>
  <c r="M67" i="7" s="1"/>
  <c r="L55" i="7" a="1"/>
  <c r="L55" i="7" s="1"/>
  <c r="V55" i="7" a="1"/>
  <c r="V55" i="7" s="1"/>
  <c r="D55" i="7" a="1"/>
  <c r="D55" i="7" s="1"/>
  <c r="M55" i="7" a="1"/>
  <c r="M55" i="7" s="1"/>
  <c r="W55" i="7" a="1"/>
  <c r="W55" i="7" s="1"/>
  <c r="E55" i="7" a="1"/>
  <c r="E55" i="7" s="1"/>
  <c r="N55" i="7" a="1"/>
  <c r="N55" i="7" s="1"/>
  <c r="F55" i="7" a="1"/>
  <c r="F55" i="7" s="1"/>
  <c r="O55" i="7" a="1"/>
  <c r="O55" i="7" s="1"/>
  <c r="G55" i="7" a="1"/>
  <c r="G55" i="7" s="1"/>
  <c r="P55" i="7" a="1"/>
  <c r="P55" i="7" s="1"/>
  <c r="Q55" i="7" a="1"/>
  <c r="Q55" i="7" s="1"/>
  <c r="H55" i="7" a="1"/>
  <c r="H55" i="7" s="1"/>
  <c r="R55" i="7" a="1"/>
  <c r="R55" i="7" s="1"/>
  <c r="I55" i="7" a="1"/>
  <c r="I55" i="7" s="1"/>
  <c r="S55" i="7" a="1"/>
  <c r="S55" i="7" s="1"/>
  <c r="U55" i="7" a="1"/>
  <c r="U55" i="7" s="1"/>
  <c r="J55" i="7" a="1"/>
  <c r="J55" i="7" s="1"/>
  <c r="K55" i="7" a="1"/>
  <c r="K55" i="7" s="1"/>
  <c r="T55" i="7" a="1"/>
  <c r="T55" i="7" s="1"/>
  <c r="K43" i="7" a="1"/>
  <c r="K43" i="7" s="1"/>
  <c r="W43" i="7" a="1"/>
  <c r="W43" i="7" s="1"/>
  <c r="L43" i="7" a="1"/>
  <c r="L43" i="7" s="1"/>
  <c r="N43" i="7" a="1"/>
  <c r="N43" i="7" s="1"/>
  <c r="O43" i="7" a="1"/>
  <c r="O43" i="7" s="1"/>
  <c r="D43" i="7" a="1"/>
  <c r="D43" i="7" s="1"/>
  <c r="P43" i="7" a="1"/>
  <c r="P43" i="7" s="1"/>
  <c r="E43" i="7" a="1"/>
  <c r="E43" i="7" s="1"/>
  <c r="Q43" i="7" a="1"/>
  <c r="Q43" i="7" s="1"/>
  <c r="F43" i="7" a="1"/>
  <c r="F43" i="7" s="1"/>
  <c r="R43" i="7" a="1"/>
  <c r="R43" i="7" s="1"/>
  <c r="G43" i="7" a="1"/>
  <c r="G43" i="7" s="1"/>
  <c r="S43" i="7" a="1"/>
  <c r="S43" i="7" s="1"/>
  <c r="H43" i="7" a="1"/>
  <c r="H43" i="7" s="1"/>
  <c r="T43" i="7" a="1"/>
  <c r="T43" i="7" s="1"/>
  <c r="V43" i="7" a="1"/>
  <c r="V43" i="7" s="1"/>
  <c r="I43" i="7" a="1"/>
  <c r="I43" i="7" s="1"/>
  <c r="J43" i="7" a="1"/>
  <c r="J43" i="7" s="1"/>
  <c r="M43" i="7" a="1"/>
  <c r="M43" i="7" s="1"/>
  <c r="U43" i="7" a="1"/>
  <c r="U43" i="7" s="1"/>
  <c r="O23" i="7" a="1"/>
  <c r="O23" i="7" s="1"/>
  <c r="O170" i="7" a="1"/>
  <c r="O170" i="7" s="1"/>
  <c r="O167" i="7" a="1"/>
  <c r="O167" i="7" s="1"/>
  <c r="S165" i="7" a="1"/>
  <c r="S165" i="7" s="1"/>
  <c r="E164" i="7" a="1"/>
  <c r="E164" i="7" s="1"/>
  <c r="P155" i="7" a="1"/>
  <c r="P155" i="7" s="1"/>
  <c r="W152" i="7" a="1"/>
  <c r="W152" i="7" s="1"/>
  <c r="E143" i="7" a="1"/>
  <c r="E143" i="7" s="1"/>
  <c r="S111" i="7" a="1"/>
  <c r="S111" i="7" s="1"/>
  <c r="J73" i="7" a="1"/>
  <c r="J73" i="7" s="1"/>
  <c r="T73" i="7" a="1"/>
  <c r="T73" i="7" s="1"/>
  <c r="K73" i="7" a="1"/>
  <c r="K73" i="7" s="1"/>
  <c r="D73" i="7" a="1"/>
  <c r="D73" i="7" s="1"/>
  <c r="L73" i="7" a="1"/>
  <c r="L73" i="7" s="1"/>
  <c r="I73" i="7" a="1"/>
  <c r="I73" i="7" s="1"/>
  <c r="W73" i="7" a="1"/>
  <c r="W73" i="7" s="1"/>
  <c r="M73" i="7" a="1"/>
  <c r="M73" i="7" s="1"/>
  <c r="N73" i="7" a="1"/>
  <c r="N73" i="7" s="1"/>
  <c r="O73" i="7" a="1"/>
  <c r="O73" i="7" s="1"/>
  <c r="P73" i="7" a="1"/>
  <c r="P73" i="7" s="1"/>
  <c r="E73" i="7" a="1"/>
  <c r="E73" i="7" s="1"/>
  <c r="Q73" i="7" a="1"/>
  <c r="Q73" i="7" s="1"/>
  <c r="F73" i="7" a="1"/>
  <c r="F73" i="7" s="1"/>
  <c r="R73" i="7" a="1"/>
  <c r="R73" i="7" s="1"/>
  <c r="G73" i="7" a="1"/>
  <c r="G73" i="7" s="1"/>
  <c r="S73" i="7" a="1"/>
  <c r="S73" i="7" s="1"/>
  <c r="H73" i="7" a="1"/>
  <c r="H73" i="7" s="1"/>
  <c r="V73" i="7" a="1"/>
  <c r="V73" i="7" s="1"/>
  <c r="U73" i="7" a="1"/>
  <c r="U73" i="7" s="1"/>
  <c r="F120" i="7" a="1"/>
  <c r="F120" i="7" s="1"/>
  <c r="Q120" i="7" a="1"/>
  <c r="Q120" i="7" s="1"/>
  <c r="G120" i="7" a="1"/>
  <c r="G120" i="7" s="1"/>
  <c r="R120" i="7" a="1"/>
  <c r="R120" i="7" s="1"/>
  <c r="H120" i="7" a="1"/>
  <c r="H120" i="7" s="1"/>
  <c r="S120" i="7" a="1"/>
  <c r="S120" i="7" s="1"/>
  <c r="I120" i="7" a="1"/>
  <c r="I120" i="7" s="1"/>
  <c r="T120" i="7" a="1"/>
  <c r="T120" i="7" s="1"/>
  <c r="J120" i="7" a="1"/>
  <c r="J120" i="7" s="1"/>
  <c r="U120" i="7" a="1"/>
  <c r="U120" i="7" s="1"/>
  <c r="V120" i="7" a="1"/>
  <c r="V120" i="7" s="1"/>
  <c r="K120" i="7" a="1"/>
  <c r="K120" i="7" s="1"/>
  <c r="W120" i="7" a="1"/>
  <c r="W120" i="7" s="1"/>
  <c r="L120" i="7" a="1"/>
  <c r="L120" i="7" s="1"/>
  <c r="M120" i="7" a="1"/>
  <c r="M120" i="7" s="1"/>
  <c r="D120" i="7" a="1"/>
  <c r="D120" i="7" s="1"/>
  <c r="N120" i="7" a="1"/>
  <c r="N120" i="7" s="1"/>
  <c r="O120" i="7" a="1"/>
  <c r="O120" i="7" s="1"/>
  <c r="E120" i="7" a="1"/>
  <c r="E120" i="7" s="1"/>
  <c r="P120" i="7" a="1"/>
  <c r="P120" i="7" s="1"/>
  <c r="E168" i="7" a="1"/>
  <c r="E168" i="7" s="1"/>
  <c r="F162" i="7" a="1"/>
  <c r="F162" i="7" s="1"/>
  <c r="N162" i="7" a="1"/>
  <c r="N162" i="7" s="1"/>
  <c r="V162" i="7" a="1"/>
  <c r="V162" i="7" s="1"/>
  <c r="G162" i="7" a="1"/>
  <c r="G162" i="7" s="1"/>
  <c r="O162" i="7" a="1"/>
  <c r="O162" i="7" s="1"/>
  <c r="W162" i="7" a="1"/>
  <c r="W162" i="7" s="1"/>
  <c r="H162" i="7" a="1"/>
  <c r="H162" i="7" s="1"/>
  <c r="P162" i="7" a="1"/>
  <c r="P162" i="7" s="1"/>
  <c r="I162" i="7" a="1"/>
  <c r="I162" i="7" s="1"/>
  <c r="Q162" i="7" a="1"/>
  <c r="Q162" i="7" s="1"/>
  <c r="J162" i="7" a="1"/>
  <c r="J162" i="7" s="1"/>
  <c r="R162" i="7" a="1"/>
  <c r="R162" i="7" s="1"/>
  <c r="K162" i="7" a="1"/>
  <c r="K162" i="7" s="1"/>
  <c r="S162" i="7" a="1"/>
  <c r="S162" i="7" s="1"/>
  <c r="D162" i="7" a="1"/>
  <c r="D162" i="7" s="1"/>
  <c r="L162" i="7" a="1"/>
  <c r="L162" i="7" s="1"/>
  <c r="T162" i="7" a="1"/>
  <c r="T162" i="7" s="1"/>
  <c r="F150" i="7" a="1"/>
  <c r="F150" i="7" s="1"/>
  <c r="G150" i="7" a="1"/>
  <c r="G150" i="7" s="1"/>
  <c r="O150" i="7" a="1"/>
  <c r="O150" i="7" s="1"/>
  <c r="I150" i="7" a="1"/>
  <c r="I150" i="7" s="1"/>
  <c r="S150" i="7" a="1"/>
  <c r="S150" i="7" s="1"/>
  <c r="T150" i="7" a="1"/>
  <c r="T150" i="7" s="1"/>
  <c r="J150" i="7" a="1"/>
  <c r="J150" i="7" s="1"/>
  <c r="K150" i="7" a="1"/>
  <c r="K150" i="7" s="1"/>
  <c r="U150" i="7" a="1"/>
  <c r="U150" i="7" s="1"/>
  <c r="L150" i="7" a="1"/>
  <c r="L150" i="7" s="1"/>
  <c r="M150" i="7" a="1"/>
  <c r="M150" i="7" s="1"/>
  <c r="V150" i="7" a="1"/>
  <c r="V150" i="7" s="1"/>
  <c r="D150" i="7" a="1"/>
  <c r="D150" i="7" s="1"/>
  <c r="N150" i="7" a="1"/>
  <c r="N150" i="7" s="1"/>
  <c r="W150" i="7" a="1"/>
  <c r="W150" i="7" s="1"/>
  <c r="E150" i="7" a="1"/>
  <c r="E150" i="7" s="1"/>
  <c r="P150" i="7" a="1"/>
  <c r="P150" i="7" s="1"/>
  <c r="Q150" i="7" a="1"/>
  <c r="Q150" i="7" s="1"/>
  <c r="I138" i="7" a="1"/>
  <c r="I138" i="7" s="1"/>
  <c r="S138" i="7" a="1"/>
  <c r="S138" i="7" s="1"/>
  <c r="J138" i="7" a="1"/>
  <c r="J138" i="7" s="1"/>
  <c r="T138" i="7" a="1"/>
  <c r="T138" i="7" s="1"/>
  <c r="D138" i="7" a="1"/>
  <c r="D138" i="7" s="1"/>
  <c r="M138" i="7" a="1"/>
  <c r="M138" i="7" s="1"/>
  <c r="V138" i="7" a="1"/>
  <c r="V138" i="7" s="1"/>
  <c r="H138" i="7" a="1"/>
  <c r="H138" i="7" s="1"/>
  <c r="W138" i="7" a="1"/>
  <c r="W138" i="7" s="1"/>
  <c r="K138" i="7" a="1"/>
  <c r="K138" i="7" s="1"/>
  <c r="L138" i="7" a="1"/>
  <c r="L138" i="7" s="1"/>
  <c r="N138" i="7" a="1"/>
  <c r="N138" i="7" s="1"/>
  <c r="O138" i="7" a="1"/>
  <c r="O138" i="7" s="1"/>
  <c r="P138" i="7" a="1"/>
  <c r="P138" i="7" s="1"/>
  <c r="Q138" i="7" a="1"/>
  <c r="Q138" i="7" s="1"/>
  <c r="E138" i="7" a="1"/>
  <c r="E138" i="7" s="1"/>
  <c r="R138" i="7" a="1"/>
  <c r="R138" i="7" s="1"/>
  <c r="F138" i="7" a="1"/>
  <c r="F138" i="7" s="1"/>
  <c r="F126" i="7" a="1"/>
  <c r="F126" i="7" s="1"/>
  <c r="Q126" i="7" a="1"/>
  <c r="Q126" i="7" s="1"/>
  <c r="G126" i="7" a="1"/>
  <c r="G126" i="7" s="1"/>
  <c r="R126" i="7" a="1"/>
  <c r="R126" i="7" s="1"/>
  <c r="H126" i="7" a="1"/>
  <c r="H126" i="7" s="1"/>
  <c r="S126" i="7" a="1"/>
  <c r="S126" i="7" s="1"/>
  <c r="I126" i="7" a="1"/>
  <c r="I126" i="7" s="1"/>
  <c r="T126" i="7" a="1"/>
  <c r="T126" i="7" s="1"/>
  <c r="J126" i="7" a="1"/>
  <c r="J126" i="7" s="1"/>
  <c r="U126" i="7" a="1"/>
  <c r="U126" i="7" s="1"/>
  <c r="V126" i="7" a="1"/>
  <c r="V126" i="7" s="1"/>
  <c r="K126" i="7" a="1"/>
  <c r="K126" i="7" s="1"/>
  <c r="L126" i="7" a="1"/>
  <c r="L126" i="7" s="1"/>
  <c r="W126" i="7" a="1"/>
  <c r="W126" i="7" s="1"/>
  <c r="M126" i="7" a="1"/>
  <c r="M126" i="7" s="1"/>
  <c r="D126" i="7" a="1"/>
  <c r="D126" i="7" s="1"/>
  <c r="N126" i="7" a="1"/>
  <c r="N126" i="7" s="1"/>
  <c r="O126" i="7" a="1"/>
  <c r="O126" i="7" s="1"/>
  <c r="E126" i="7" a="1"/>
  <c r="E126" i="7" s="1"/>
  <c r="P126" i="7" a="1"/>
  <c r="P126" i="7" s="1"/>
  <c r="D114" i="7" a="1"/>
  <c r="D114" i="7" s="1"/>
  <c r="V114" i="7" a="1"/>
  <c r="V114" i="7" s="1"/>
  <c r="M114" i="7" a="1"/>
  <c r="M114" i="7" s="1"/>
  <c r="E114" i="7" a="1"/>
  <c r="E114" i="7" s="1"/>
  <c r="N114" i="7" a="1"/>
  <c r="N114" i="7" s="1"/>
  <c r="W114" i="7" a="1"/>
  <c r="W114" i="7" s="1"/>
  <c r="F114" i="7" a="1"/>
  <c r="F114" i="7" s="1"/>
  <c r="O114" i="7" a="1"/>
  <c r="O114" i="7" s="1"/>
  <c r="P114" i="7" a="1"/>
  <c r="P114" i="7" s="1"/>
  <c r="G114" i="7" a="1"/>
  <c r="G114" i="7" s="1"/>
  <c r="H114" i="7" a="1"/>
  <c r="H114" i="7" s="1"/>
  <c r="Q114" i="7" a="1"/>
  <c r="Q114" i="7" s="1"/>
  <c r="I114" i="7" a="1"/>
  <c r="I114" i="7" s="1"/>
  <c r="R114" i="7" a="1"/>
  <c r="R114" i="7" s="1"/>
  <c r="J114" i="7" a="1"/>
  <c r="J114" i="7" s="1"/>
  <c r="S114" i="7" a="1"/>
  <c r="S114" i="7" s="1"/>
  <c r="K114" i="7" a="1"/>
  <c r="K114" i="7" s="1"/>
  <c r="T114" i="7" a="1"/>
  <c r="T114" i="7" s="1"/>
  <c r="L114" i="7" a="1"/>
  <c r="L114" i="7" s="1"/>
  <c r="U114" i="7" a="1"/>
  <c r="U114" i="7" s="1"/>
  <c r="F102" i="7" a="1"/>
  <c r="F102" i="7" s="1"/>
  <c r="R102" i="7" a="1"/>
  <c r="R102" i="7" s="1"/>
  <c r="I102" i="7" a="1"/>
  <c r="I102" i="7" s="1"/>
  <c r="U102" i="7" a="1"/>
  <c r="U102" i="7" s="1"/>
  <c r="J102" i="7" a="1"/>
  <c r="J102" i="7" s="1"/>
  <c r="V102" i="7" a="1"/>
  <c r="V102" i="7" s="1"/>
  <c r="L102" i="7" a="1"/>
  <c r="L102" i="7" s="1"/>
  <c r="M102" i="7" a="1"/>
  <c r="M102" i="7" s="1"/>
  <c r="N102" i="7" a="1"/>
  <c r="N102" i="7" s="1"/>
  <c r="O102" i="7" a="1"/>
  <c r="O102" i="7" s="1"/>
  <c r="P102" i="7" a="1"/>
  <c r="P102" i="7" s="1"/>
  <c r="Q102" i="7" a="1"/>
  <c r="Q102" i="7" s="1"/>
  <c r="D102" i="7" a="1"/>
  <c r="D102" i="7" s="1"/>
  <c r="S102" i="7" a="1"/>
  <c r="S102" i="7" s="1"/>
  <c r="T102" i="7" a="1"/>
  <c r="T102" i="7" s="1"/>
  <c r="E102" i="7" a="1"/>
  <c r="E102" i="7" s="1"/>
  <c r="W102" i="7" a="1"/>
  <c r="W102" i="7" s="1"/>
  <c r="G102" i="7" a="1"/>
  <c r="G102" i="7" s="1"/>
  <c r="H102" i="7" a="1"/>
  <c r="H102" i="7" s="1"/>
  <c r="K102" i="7" a="1"/>
  <c r="K102" i="7" s="1"/>
  <c r="H90" i="7" a="1"/>
  <c r="H90" i="7" s="1"/>
  <c r="E90" i="7" a="1"/>
  <c r="E90" i="7" s="1"/>
  <c r="P90" i="7" a="1"/>
  <c r="P90" i="7" s="1"/>
  <c r="F90" i="7" a="1"/>
  <c r="F90" i="7" s="1"/>
  <c r="Q90" i="7" a="1"/>
  <c r="Q90" i="7" s="1"/>
  <c r="G90" i="7" a="1"/>
  <c r="G90" i="7" s="1"/>
  <c r="I90" i="7" a="1"/>
  <c r="I90" i="7" s="1"/>
  <c r="R90" i="7" a="1"/>
  <c r="R90" i="7" s="1"/>
  <c r="J90" i="7" a="1"/>
  <c r="J90" i="7" s="1"/>
  <c r="S90" i="7" a="1"/>
  <c r="S90" i="7" s="1"/>
  <c r="K90" i="7" a="1"/>
  <c r="K90" i="7" s="1"/>
  <c r="T90" i="7" a="1"/>
  <c r="T90" i="7" s="1"/>
  <c r="N90" i="7" a="1"/>
  <c r="N90" i="7" s="1"/>
  <c r="V90" i="7" a="1"/>
  <c r="V90" i="7" s="1"/>
  <c r="W90" i="7" a="1"/>
  <c r="W90" i="7" s="1"/>
  <c r="D90" i="7" a="1"/>
  <c r="D90" i="7" s="1"/>
  <c r="L90" i="7" a="1"/>
  <c r="L90" i="7" s="1"/>
  <c r="M90" i="7" a="1"/>
  <c r="M90" i="7" s="1"/>
  <c r="O90" i="7" a="1"/>
  <c r="O90" i="7" s="1"/>
  <c r="U90" i="7" a="1"/>
  <c r="U90" i="7" s="1"/>
  <c r="N78" i="7" a="1"/>
  <c r="N78" i="7" s="1"/>
  <c r="G78" i="7" a="1"/>
  <c r="G78" i="7" s="1"/>
  <c r="O78" i="7" a="1"/>
  <c r="O78" i="7" s="1"/>
  <c r="J78" i="7" a="1"/>
  <c r="J78" i="7" s="1"/>
  <c r="V78" i="7" a="1"/>
  <c r="V78" i="7" s="1"/>
  <c r="K78" i="7" a="1"/>
  <c r="K78" i="7" s="1"/>
  <c r="L78" i="7" a="1"/>
  <c r="L78" i="7" s="1"/>
  <c r="W78" i="7" a="1"/>
  <c r="W78" i="7" s="1"/>
  <c r="D78" i="7" a="1"/>
  <c r="D78" i="7" s="1"/>
  <c r="M78" i="7" a="1"/>
  <c r="M78" i="7" s="1"/>
  <c r="E78" i="7" a="1"/>
  <c r="E78" i="7" s="1"/>
  <c r="P78" i="7" a="1"/>
  <c r="P78" i="7" s="1"/>
  <c r="Q78" i="7" a="1"/>
  <c r="Q78" i="7" s="1"/>
  <c r="F78" i="7" a="1"/>
  <c r="F78" i="7" s="1"/>
  <c r="R78" i="7" a="1"/>
  <c r="R78" i="7" s="1"/>
  <c r="H78" i="7" a="1"/>
  <c r="H78" i="7" s="1"/>
  <c r="S78" i="7" a="1"/>
  <c r="S78" i="7" s="1"/>
  <c r="U78" i="7" a="1"/>
  <c r="U78" i="7" s="1"/>
  <c r="I78" i="7" a="1"/>
  <c r="I78" i="7" s="1"/>
  <c r="T78" i="7" a="1"/>
  <c r="T78" i="7" s="1"/>
  <c r="E66" i="7" a="1"/>
  <c r="E66" i="7" s="1"/>
  <c r="N66" i="7" a="1"/>
  <c r="N66" i="7" s="1"/>
  <c r="U66" i="7" a="1"/>
  <c r="U66" i="7" s="1"/>
  <c r="O66" i="7" a="1"/>
  <c r="O66" i="7" s="1"/>
  <c r="V66" i="7" a="1"/>
  <c r="V66" i="7" s="1"/>
  <c r="G66" i="7" a="1"/>
  <c r="G66" i="7" s="1"/>
  <c r="Q66" i="7" a="1"/>
  <c r="Q66" i="7" s="1"/>
  <c r="H66" i="7" a="1"/>
  <c r="H66" i="7" s="1"/>
  <c r="I66" i="7" a="1"/>
  <c r="I66" i="7" s="1"/>
  <c r="T66" i="7" a="1"/>
  <c r="T66" i="7" s="1"/>
  <c r="J66" i="7" a="1"/>
  <c r="J66" i="7" s="1"/>
  <c r="W66" i="7" a="1"/>
  <c r="W66" i="7" s="1"/>
  <c r="L66" i="7" a="1"/>
  <c r="L66" i="7" s="1"/>
  <c r="S66" i="7" a="1"/>
  <c r="S66" i="7" s="1"/>
  <c r="D66" i="7" a="1"/>
  <c r="D66" i="7" s="1"/>
  <c r="F66" i="7" a="1"/>
  <c r="F66" i="7" s="1"/>
  <c r="K66" i="7" a="1"/>
  <c r="K66" i="7" s="1"/>
  <c r="M66" i="7" a="1"/>
  <c r="M66" i="7" s="1"/>
  <c r="P66" i="7" a="1"/>
  <c r="P66" i="7" s="1"/>
  <c r="R66" i="7" a="1"/>
  <c r="R66" i="7" s="1"/>
  <c r="N54" i="7" a="1"/>
  <c r="N54" i="7" s="1"/>
  <c r="W54" i="7" a="1"/>
  <c r="W54" i="7" s="1"/>
  <c r="D54" i="7" a="1"/>
  <c r="D54" i="7" s="1"/>
  <c r="O54" i="7" a="1"/>
  <c r="O54" i="7" s="1"/>
  <c r="F54" i="7" a="1"/>
  <c r="F54" i="7" s="1"/>
  <c r="P54" i="7" a="1"/>
  <c r="P54" i="7" s="1"/>
  <c r="G54" i="7" a="1"/>
  <c r="G54" i="7" s="1"/>
  <c r="Q54" i="7" a="1"/>
  <c r="Q54" i="7" s="1"/>
  <c r="H54" i="7" a="1"/>
  <c r="H54" i="7" s="1"/>
  <c r="I54" i="7" a="1"/>
  <c r="I54" i="7" s="1"/>
  <c r="R54" i="7" a="1"/>
  <c r="R54" i="7" s="1"/>
  <c r="S54" i="7" a="1"/>
  <c r="S54" i="7" s="1"/>
  <c r="J54" i="7" a="1"/>
  <c r="J54" i="7" s="1"/>
  <c r="T54" i="7" a="1"/>
  <c r="T54" i="7" s="1"/>
  <c r="E54" i="7" a="1"/>
  <c r="E54" i="7" s="1"/>
  <c r="K54" i="7" a="1"/>
  <c r="K54" i="7" s="1"/>
  <c r="L54" i="7" a="1"/>
  <c r="L54" i="7" s="1"/>
  <c r="M54" i="7" a="1"/>
  <c r="M54" i="7" s="1"/>
  <c r="U54" i="7" a="1"/>
  <c r="U54" i="7" s="1"/>
  <c r="V54" i="7" a="1"/>
  <c r="V54" i="7" s="1"/>
  <c r="H42" i="7" a="1"/>
  <c r="H42" i="7" s="1"/>
  <c r="S42" i="7" a="1"/>
  <c r="S42" i="7" s="1"/>
  <c r="I42" i="7" a="1"/>
  <c r="I42" i="7" s="1"/>
  <c r="T42" i="7" a="1"/>
  <c r="T42" i="7" s="1"/>
  <c r="J42" i="7" a="1"/>
  <c r="J42" i="7" s="1"/>
  <c r="V42" i="7" a="1"/>
  <c r="V42" i="7" s="1"/>
  <c r="K42" i="7" a="1"/>
  <c r="K42" i="7" s="1"/>
  <c r="W42" i="7" a="1"/>
  <c r="W42" i="7" s="1"/>
  <c r="L42" i="7" a="1"/>
  <c r="L42" i="7" s="1"/>
  <c r="M42" i="7" a="1"/>
  <c r="M42" i="7" s="1"/>
  <c r="N42" i="7" a="1"/>
  <c r="N42" i="7" s="1"/>
  <c r="D42" i="7" a="1"/>
  <c r="D42" i="7" s="1"/>
  <c r="O42" i="7" a="1"/>
  <c r="O42" i="7" s="1"/>
  <c r="E42" i="7" a="1"/>
  <c r="E42" i="7" s="1"/>
  <c r="P42" i="7" a="1"/>
  <c r="P42" i="7" s="1"/>
  <c r="F42" i="7" a="1"/>
  <c r="F42" i="7" s="1"/>
  <c r="G42" i="7" a="1"/>
  <c r="G42" i="7" s="1"/>
  <c r="Q42" i="7" a="1"/>
  <c r="Q42" i="7" s="1"/>
  <c r="R42" i="7" a="1"/>
  <c r="R42" i="7" s="1"/>
  <c r="U42" i="7" a="1"/>
  <c r="U42" i="7" s="1"/>
  <c r="M170" i="7" a="1"/>
  <c r="M170" i="7" s="1"/>
  <c r="V168" i="7" a="1"/>
  <c r="V168" i="7" s="1"/>
  <c r="U157" i="7" a="1"/>
  <c r="U157" i="7" s="1"/>
  <c r="O155" i="7" a="1"/>
  <c r="O155" i="7" s="1"/>
  <c r="V152" i="7" a="1"/>
  <c r="V152" i="7" s="1"/>
  <c r="H150" i="7" a="1"/>
  <c r="H150" i="7" s="1"/>
  <c r="Q146" i="7" a="1"/>
  <c r="Q146" i="7" s="1"/>
  <c r="S121" i="7" a="1"/>
  <c r="S121" i="7" s="1"/>
  <c r="I121" i="7" a="1"/>
  <c r="I121" i="7" s="1"/>
  <c r="T121" i="7" a="1"/>
  <c r="T121" i="7" s="1"/>
  <c r="J121" i="7" a="1"/>
  <c r="J121" i="7" s="1"/>
  <c r="U121" i="7" a="1"/>
  <c r="U121" i="7" s="1"/>
  <c r="K121" i="7" a="1"/>
  <c r="K121" i="7" s="1"/>
  <c r="V121" i="7" a="1"/>
  <c r="V121" i="7" s="1"/>
  <c r="L121" i="7" a="1"/>
  <c r="L121" i="7" s="1"/>
  <c r="W121" i="7" a="1"/>
  <c r="W121" i="7" s="1"/>
  <c r="M121" i="7" a="1"/>
  <c r="M121" i="7" s="1"/>
  <c r="N121" i="7" a="1"/>
  <c r="N121" i="7" s="1"/>
  <c r="D121" i="7" a="1"/>
  <c r="D121" i="7" s="1"/>
  <c r="E121" i="7" a="1"/>
  <c r="E121" i="7" s="1"/>
  <c r="O121" i="7" a="1"/>
  <c r="O121" i="7" s="1"/>
  <c r="F121" i="7" a="1"/>
  <c r="F121" i="7" s="1"/>
  <c r="P121" i="7" a="1"/>
  <c r="P121" i="7" s="1"/>
  <c r="G121" i="7" a="1"/>
  <c r="G121" i="7" s="1"/>
  <c r="Q121" i="7" a="1"/>
  <c r="Q121" i="7" s="1"/>
  <c r="H121" i="7" a="1"/>
  <c r="H121" i="7" s="1"/>
  <c r="R121" i="7" a="1"/>
  <c r="R121" i="7" s="1"/>
  <c r="F96" i="7" a="1"/>
  <c r="F96" i="7" s="1"/>
  <c r="P96" i="7" a="1"/>
  <c r="P96" i="7" s="1"/>
  <c r="G96" i="7" a="1"/>
  <c r="G96" i="7" s="1"/>
  <c r="H96" i="7" a="1"/>
  <c r="H96" i="7" s="1"/>
  <c r="Q96" i="7" a="1"/>
  <c r="Q96" i="7" s="1"/>
  <c r="I96" i="7" a="1"/>
  <c r="I96" i="7" s="1"/>
  <c r="J96" i="7" a="1"/>
  <c r="J96" i="7" s="1"/>
  <c r="R96" i="7" a="1"/>
  <c r="R96" i="7" s="1"/>
  <c r="S96" i="7" a="1"/>
  <c r="S96" i="7" s="1"/>
  <c r="N96" i="7" a="1"/>
  <c r="N96" i="7" s="1"/>
  <c r="O96" i="7" a="1"/>
  <c r="O96" i="7" s="1"/>
  <c r="T96" i="7" a="1"/>
  <c r="T96" i="7" s="1"/>
  <c r="U96" i="7" a="1"/>
  <c r="U96" i="7" s="1"/>
  <c r="D96" i="7" a="1"/>
  <c r="D96" i="7" s="1"/>
  <c r="V96" i="7" a="1"/>
  <c r="V96" i="7" s="1"/>
  <c r="E96" i="7" a="1"/>
  <c r="E96" i="7" s="1"/>
  <c r="W96" i="7" a="1"/>
  <c r="W96" i="7" s="1"/>
  <c r="K96" i="7" a="1"/>
  <c r="K96" i="7" s="1"/>
  <c r="L96" i="7" a="1"/>
  <c r="L96" i="7" s="1"/>
  <c r="R23" i="7" a="1"/>
  <c r="R23" i="7" s="1"/>
  <c r="I23" i="7" a="1"/>
  <c r="I23" i="7" s="1"/>
  <c r="S23" i="7" a="1"/>
  <c r="S23" i="7" s="1"/>
  <c r="J23" i="7" a="1"/>
  <c r="J23" i="7" s="1"/>
  <c r="T23" i="7" a="1"/>
  <c r="T23" i="7" s="1"/>
  <c r="U23" i="7" a="1"/>
  <c r="U23" i="7" s="1"/>
  <c r="K23" i="7" a="1"/>
  <c r="K23" i="7" s="1"/>
  <c r="V23" i="7" a="1"/>
  <c r="V23" i="7" s="1"/>
  <c r="L23" i="7" a="1"/>
  <c r="L23" i="7" s="1"/>
  <c r="N23" i="7" a="1"/>
  <c r="N23" i="7" s="1"/>
  <c r="D23" i="7" a="1"/>
  <c r="D23" i="7" s="1"/>
  <c r="J161" i="7" a="1"/>
  <c r="J161" i="7" s="1"/>
  <c r="R161" i="7" a="1"/>
  <c r="R161" i="7" s="1"/>
  <c r="K161" i="7" a="1"/>
  <c r="K161" i="7" s="1"/>
  <c r="S161" i="7" a="1"/>
  <c r="S161" i="7" s="1"/>
  <c r="D161" i="7" a="1"/>
  <c r="D161" i="7" s="1"/>
  <c r="L161" i="7" a="1"/>
  <c r="L161" i="7" s="1"/>
  <c r="T161" i="7" a="1"/>
  <c r="T161" i="7" s="1"/>
  <c r="E161" i="7" a="1"/>
  <c r="E161" i="7" s="1"/>
  <c r="M161" i="7" a="1"/>
  <c r="M161" i="7" s="1"/>
  <c r="U161" i="7" a="1"/>
  <c r="U161" i="7" s="1"/>
  <c r="F161" i="7" a="1"/>
  <c r="F161" i="7" s="1"/>
  <c r="N161" i="7" a="1"/>
  <c r="N161" i="7" s="1"/>
  <c r="V161" i="7" a="1"/>
  <c r="V161" i="7" s="1"/>
  <c r="G161" i="7" a="1"/>
  <c r="G161" i="7" s="1"/>
  <c r="O161" i="7" a="1"/>
  <c r="O161" i="7" s="1"/>
  <c r="W161" i="7" a="1"/>
  <c r="W161" i="7" s="1"/>
  <c r="H161" i="7" a="1"/>
  <c r="H161" i="7" s="1"/>
  <c r="P161" i="7" a="1"/>
  <c r="P161" i="7" s="1"/>
  <c r="F149" i="7" a="1"/>
  <c r="F149" i="7" s="1"/>
  <c r="P149" i="7" a="1"/>
  <c r="P149" i="7" s="1"/>
  <c r="G149" i="7" a="1"/>
  <c r="G149" i="7" s="1"/>
  <c r="H149" i="7" a="1"/>
  <c r="H149" i="7" s="1"/>
  <c r="Q149" i="7" a="1"/>
  <c r="Q149" i="7" s="1"/>
  <c r="E149" i="7" a="1"/>
  <c r="E149" i="7" s="1"/>
  <c r="S149" i="7" a="1"/>
  <c r="S149" i="7" s="1"/>
  <c r="I149" i="7" a="1"/>
  <c r="I149" i="7" s="1"/>
  <c r="T149" i="7" a="1"/>
  <c r="T149" i="7" s="1"/>
  <c r="J149" i="7" a="1"/>
  <c r="J149" i="7" s="1"/>
  <c r="K149" i="7" a="1"/>
  <c r="K149" i="7" s="1"/>
  <c r="U149" i="7" a="1"/>
  <c r="U149" i="7" s="1"/>
  <c r="L149" i="7" a="1"/>
  <c r="L149" i="7" s="1"/>
  <c r="V149" i="7" a="1"/>
  <c r="V149" i="7" s="1"/>
  <c r="M149" i="7" a="1"/>
  <c r="M149" i="7" s="1"/>
  <c r="W149" i="7" a="1"/>
  <c r="W149" i="7" s="1"/>
  <c r="N149" i="7" a="1"/>
  <c r="N149" i="7" s="1"/>
  <c r="O149" i="7" a="1"/>
  <c r="O149" i="7" s="1"/>
  <c r="I137" i="7" a="1"/>
  <c r="I137" i="7" s="1"/>
  <c r="T137" i="7" a="1"/>
  <c r="T137" i="7" s="1"/>
  <c r="J137" i="7" a="1"/>
  <c r="J137" i="7" s="1"/>
  <c r="U137" i="7" a="1"/>
  <c r="U137" i="7" s="1"/>
  <c r="K137" i="7" a="1"/>
  <c r="K137" i="7" s="1"/>
  <c r="V137" i="7" a="1"/>
  <c r="V137" i="7" s="1"/>
  <c r="L137" i="7" a="1"/>
  <c r="L137" i="7" s="1"/>
  <c r="M137" i="7" a="1"/>
  <c r="M137" i="7" s="1"/>
  <c r="N137" i="7" a="1"/>
  <c r="N137" i="7" s="1"/>
  <c r="O137" i="7" a="1"/>
  <c r="O137" i="7" s="1"/>
  <c r="P137" i="7" a="1"/>
  <c r="P137" i="7" s="1"/>
  <c r="Q137" i="7" a="1"/>
  <c r="Q137" i="7" s="1"/>
  <c r="R137" i="7" a="1"/>
  <c r="R137" i="7" s="1"/>
  <c r="S137" i="7" a="1"/>
  <c r="S137" i="7" s="1"/>
  <c r="D137" i="7" a="1"/>
  <c r="D137" i="7" s="1"/>
  <c r="W137" i="7" a="1"/>
  <c r="W137" i="7" s="1"/>
  <c r="E137" i="7" a="1"/>
  <c r="E137" i="7" s="1"/>
  <c r="F137" i="7" a="1"/>
  <c r="F137" i="7" s="1"/>
  <c r="E125" i="7" a="1"/>
  <c r="E125" i="7" s="1"/>
  <c r="P125" i="7" a="1"/>
  <c r="P125" i="7" s="1"/>
  <c r="F125" i="7" a="1"/>
  <c r="F125" i="7" s="1"/>
  <c r="Q125" i="7" a="1"/>
  <c r="Q125" i="7" s="1"/>
  <c r="R125" i="7" a="1"/>
  <c r="R125" i="7" s="1"/>
  <c r="G125" i="7" a="1"/>
  <c r="G125" i="7" s="1"/>
  <c r="H125" i="7" a="1"/>
  <c r="H125" i="7" s="1"/>
  <c r="S125" i="7" a="1"/>
  <c r="S125" i="7" s="1"/>
  <c r="I125" i="7" a="1"/>
  <c r="I125" i="7" s="1"/>
  <c r="T125" i="7" a="1"/>
  <c r="T125" i="7" s="1"/>
  <c r="J125" i="7" a="1"/>
  <c r="J125" i="7" s="1"/>
  <c r="U125" i="7" a="1"/>
  <c r="U125" i="7" s="1"/>
  <c r="K125" i="7" a="1"/>
  <c r="K125" i="7" s="1"/>
  <c r="V125" i="7" a="1"/>
  <c r="V125" i="7" s="1"/>
  <c r="L125" i="7" a="1"/>
  <c r="L125" i="7" s="1"/>
  <c r="W125" i="7" a="1"/>
  <c r="W125" i="7" s="1"/>
  <c r="M125" i="7" a="1"/>
  <c r="M125" i="7" s="1"/>
  <c r="N125" i="7" a="1"/>
  <c r="N125" i="7" s="1"/>
  <c r="D125" i="7" a="1"/>
  <c r="D125" i="7" s="1"/>
  <c r="O125" i="7" a="1"/>
  <c r="O125" i="7" s="1"/>
  <c r="H113" i="7" a="1"/>
  <c r="H113" i="7" s="1"/>
  <c r="O113" i="7" a="1"/>
  <c r="O113" i="7" s="1"/>
  <c r="P113" i="7" a="1"/>
  <c r="P113" i="7" s="1"/>
  <c r="I113" i="7" a="1"/>
  <c r="I113" i="7" s="1"/>
  <c r="Q113" i="7" a="1"/>
  <c r="Q113" i="7" s="1"/>
  <c r="J113" i="7" a="1"/>
  <c r="J113" i="7" s="1"/>
  <c r="R113" i="7" a="1"/>
  <c r="R113" i="7" s="1"/>
  <c r="D113" i="7" a="1"/>
  <c r="D113" i="7" s="1"/>
  <c r="K113" i="7" a="1"/>
  <c r="K113" i="7" s="1"/>
  <c r="S113" i="7" a="1"/>
  <c r="S113" i="7" s="1"/>
  <c r="L113" i="7" a="1"/>
  <c r="L113" i="7" s="1"/>
  <c r="T113" i="7" a="1"/>
  <c r="T113" i="7" s="1"/>
  <c r="E113" i="7" a="1"/>
  <c r="E113" i="7" s="1"/>
  <c r="F113" i="7" a="1"/>
  <c r="F113" i="7" s="1"/>
  <c r="M113" i="7" a="1"/>
  <c r="M113" i="7" s="1"/>
  <c r="U113" i="7" a="1"/>
  <c r="U113" i="7" s="1"/>
  <c r="N113" i="7" a="1"/>
  <c r="N113" i="7" s="1"/>
  <c r="V113" i="7" a="1"/>
  <c r="V113" i="7" s="1"/>
  <c r="G113" i="7" a="1"/>
  <c r="G113" i="7" s="1"/>
  <c r="W113" i="7" a="1"/>
  <c r="W113" i="7" s="1"/>
  <c r="O101" i="7" a="1"/>
  <c r="O101" i="7" s="1"/>
  <c r="F101" i="7" a="1"/>
  <c r="F101" i="7" s="1"/>
  <c r="R101" i="7" a="1"/>
  <c r="R101" i="7" s="1"/>
  <c r="G101" i="7" a="1"/>
  <c r="G101" i="7" s="1"/>
  <c r="S101" i="7" a="1"/>
  <c r="S101" i="7" s="1"/>
  <c r="P101" i="7" a="1"/>
  <c r="P101" i="7" s="1"/>
  <c r="Q101" i="7" a="1"/>
  <c r="Q101" i="7" s="1"/>
  <c r="T101" i="7" a="1"/>
  <c r="T101" i="7" s="1"/>
  <c r="D101" i="7" a="1"/>
  <c r="D101" i="7" s="1"/>
  <c r="U101" i="7" a="1"/>
  <c r="U101" i="7" s="1"/>
  <c r="E101" i="7" a="1"/>
  <c r="E101" i="7" s="1"/>
  <c r="V101" i="7" a="1"/>
  <c r="V101" i="7" s="1"/>
  <c r="H101" i="7" a="1"/>
  <c r="H101" i="7" s="1"/>
  <c r="W101" i="7" a="1"/>
  <c r="W101" i="7" s="1"/>
  <c r="I101" i="7" a="1"/>
  <c r="I101" i="7" s="1"/>
  <c r="J101" i="7" a="1"/>
  <c r="J101" i="7" s="1"/>
  <c r="K101" i="7" a="1"/>
  <c r="K101" i="7" s="1"/>
  <c r="L101" i="7" a="1"/>
  <c r="L101" i="7" s="1"/>
  <c r="M101" i="7" a="1"/>
  <c r="M101" i="7" s="1"/>
  <c r="N101" i="7" a="1"/>
  <c r="N101" i="7" s="1"/>
  <c r="T89" i="7" a="1"/>
  <c r="T89" i="7" s="1"/>
  <c r="D89" i="7" a="1"/>
  <c r="D89" i="7" s="1"/>
  <c r="U89" i="7" a="1"/>
  <c r="U89" i="7" s="1"/>
  <c r="G89" i="7" a="1"/>
  <c r="G89" i="7" s="1"/>
  <c r="Q89" i="7" a="1"/>
  <c r="Q89" i="7" s="1"/>
  <c r="H89" i="7" a="1"/>
  <c r="H89" i="7" s="1"/>
  <c r="R89" i="7" a="1"/>
  <c r="R89" i="7" s="1"/>
  <c r="I89" i="7" a="1"/>
  <c r="I89" i="7" s="1"/>
  <c r="S89" i="7" a="1"/>
  <c r="S89" i="7" s="1"/>
  <c r="J89" i="7" a="1"/>
  <c r="J89" i="7" s="1"/>
  <c r="E89" i="7" a="1"/>
  <c r="E89" i="7" s="1"/>
  <c r="N89" i="7" a="1"/>
  <c r="N89" i="7" s="1"/>
  <c r="W89" i="7" a="1"/>
  <c r="W89" i="7" s="1"/>
  <c r="F89" i="7" a="1"/>
  <c r="F89" i="7" s="1"/>
  <c r="K89" i="7" a="1"/>
  <c r="K89" i="7" s="1"/>
  <c r="L89" i="7" a="1"/>
  <c r="L89" i="7" s="1"/>
  <c r="M89" i="7" a="1"/>
  <c r="M89" i="7" s="1"/>
  <c r="O89" i="7" a="1"/>
  <c r="O89" i="7" s="1"/>
  <c r="P89" i="7" a="1"/>
  <c r="P89" i="7" s="1"/>
  <c r="V89" i="7" a="1"/>
  <c r="V89" i="7" s="1"/>
  <c r="I77" i="7" a="1"/>
  <c r="I77" i="7" s="1"/>
  <c r="Q77" i="7" a="1"/>
  <c r="Q77" i="7" s="1"/>
  <c r="J77" i="7" a="1"/>
  <c r="J77" i="7" s="1"/>
  <c r="R77" i="7" a="1"/>
  <c r="R77" i="7" s="1"/>
  <c r="K77" i="7" a="1"/>
  <c r="K77" i="7" s="1"/>
  <c r="S77" i="7" a="1"/>
  <c r="S77" i="7" s="1"/>
  <c r="G77" i="7" a="1"/>
  <c r="G77" i="7" s="1"/>
  <c r="T77" i="7" a="1"/>
  <c r="T77" i="7" s="1"/>
  <c r="H77" i="7" a="1"/>
  <c r="H77" i="7" s="1"/>
  <c r="U77" i="7" a="1"/>
  <c r="U77" i="7" s="1"/>
  <c r="V77" i="7" a="1"/>
  <c r="V77" i="7" s="1"/>
  <c r="W77" i="7" a="1"/>
  <c r="W77" i="7" s="1"/>
  <c r="L77" i="7" a="1"/>
  <c r="L77" i="7" s="1"/>
  <c r="M77" i="7" a="1"/>
  <c r="M77" i="7" s="1"/>
  <c r="N77" i="7" a="1"/>
  <c r="N77" i="7" s="1"/>
  <c r="D77" i="7" a="1"/>
  <c r="D77" i="7" s="1"/>
  <c r="F77" i="7" a="1"/>
  <c r="F77" i="7" s="1"/>
  <c r="P77" i="7" a="1"/>
  <c r="P77" i="7" s="1"/>
  <c r="E77" i="7" a="1"/>
  <c r="E77" i="7" s="1"/>
  <c r="O77" i="7" a="1"/>
  <c r="O77" i="7" s="1"/>
  <c r="H65" i="7" a="1"/>
  <c r="H65" i="7" s="1"/>
  <c r="I65" i="7" a="1"/>
  <c r="I65" i="7" s="1"/>
  <c r="P65" i="7" a="1"/>
  <c r="P65" i="7" s="1"/>
  <c r="S65" i="7" a="1"/>
  <c r="S65" i="7" s="1"/>
  <c r="L65" i="7" a="1"/>
  <c r="L65" i="7" s="1"/>
  <c r="T65" i="7" a="1"/>
  <c r="T65" i="7" s="1"/>
  <c r="O65" i="7" a="1"/>
  <c r="O65" i="7" s="1"/>
  <c r="D65" i="7" a="1"/>
  <c r="D65" i="7" s="1"/>
  <c r="Q65" i="7" a="1"/>
  <c r="Q65" i="7" s="1"/>
  <c r="F65" i="7" a="1"/>
  <c r="F65" i="7" s="1"/>
  <c r="U65" i="7" a="1"/>
  <c r="U65" i="7" s="1"/>
  <c r="W65" i="7" a="1"/>
  <c r="W65" i="7" s="1"/>
  <c r="E65" i="7" a="1"/>
  <c r="E65" i="7" s="1"/>
  <c r="G65" i="7" a="1"/>
  <c r="G65" i="7" s="1"/>
  <c r="J65" i="7" a="1"/>
  <c r="J65" i="7" s="1"/>
  <c r="K65" i="7" a="1"/>
  <c r="K65" i="7" s="1"/>
  <c r="M65" i="7" a="1"/>
  <c r="M65" i="7" s="1"/>
  <c r="N65" i="7" a="1"/>
  <c r="N65" i="7" s="1"/>
  <c r="V65" i="7" a="1"/>
  <c r="V65" i="7" s="1"/>
  <c r="R65" i="7" a="1"/>
  <c r="R65" i="7" s="1"/>
  <c r="D53" i="7" a="1"/>
  <c r="D53" i="7" s="1"/>
  <c r="M53" i="7" a="1"/>
  <c r="M53" i="7" s="1"/>
  <c r="W53" i="7" a="1"/>
  <c r="W53" i="7" s="1"/>
  <c r="E53" i="7" a="1"/>
  <c r="E53" i="7" s="1"/>
  <c r="N53" i="7" a="1"/>
  <c r="N53" i="7" s="1"/>
  <c r="F53" i="7" a="1"/>
  <c r="F53" i="7" s="1"/>
  <c r="G53" i="7" a="1"/>
  <c r="G53" i="7" s="1"/>
  <c r="P53" i="7" a="1"/>
  <c r="P53" i="7" s="1"/>
  <c r="H53" i="7" a="1"/>
  <c r="H53" i="7" s="1"/>
  <c r="Q53" i="7" a="1"/>
  <c r="Q53" i="7" s="1"/>
  <c r="I53" i="7" a="1"/>
  <c r="I53" i="7" s="1"/>
  <c r="R53" i="7" a="1"/>
  <c r="R53" i="7" s="1"/>
  <c r="J53" i="7" a="1"/>
  <c r="J53" i="7" s="1"/>
  <c r="S53" i="7" a="1"/>
  <c r="S53" i="7" s="1"/>
  <c r="V53" i="7" a="1"/>
  <c r="V53" i="7" s="1"/>
  <c r="K53" i="7" a="1"/>
  <c r="K53" i="7" s="1"/>
  <c r="L53" i="7" a="1"/>
  <c r="L53" i="7" s="1"/>
  <c r="O53" i="7" a="1"/>
  <c r="O53" i="7" s="1"/>
  <c r="T53" i="7" a="1"/>
  <c r="T53" i="7" s="1"/>
  <c r="U53" i="7" a="1"/>
  <c r="U53" i="7" s="1"/>
  <c r="G41" i="7" a="1"/>
  <c r="G41" i="7" s="1"/>
  <c r="Q41" i="7" a="1"/>
  <c r="Q41" i="7" s="1"/>
  <c r="H41" i="7" a="1"/>
  <c r="H41" i="7" s="1"/>
  <c r="R41" i="7" a="1"/>
  <c r="R41" i="7" s="1"/>
  <c r="I41" i="7" a="1"/>
  <c r="I41" i="7" s="1"/>
  <c r="T41" i="7" a="1"/>
  <c r="T41" i="7" s="1"/>
  <c r="J41" i="7" a="1"/>
  <c r="J41" i="7" s="1"/>
  <c r="U41" i="7" a="1"/>
  <c r="U41" i="7" s="1"/>
  <c r="K41" i="7" a="1"/>
  <c r="K41" i="7" s="1"/>
  <c r="V41" i="7" a="1"/>
  <c r="V41" i="7" s="1"/>
  <c r="L41" i="7" a="1"/>
  <c r="L41" i="7" s="1"/>
  <c r="M41" i="7" a="1"/>
  <c r="M41" i="7" s="1"/>
  <c r="W41" i="7" a="1"/>
  <c r="W41" i="7" s="1"/>
  <c r="N41" i="7" a="1"/>
  <c r="N41" i="7" s="1"/>
  <c r="D41" i="7" a="1"/>
  <c r="D41" i="7" s="1"/>
  <c r="O41" i="7" a="1"/>
  <c r="O41" i="7" s="1"/>
  <c r="P41" i="7" a="1"/>
  <c r="P41" i="7" s="1"/>
  <c r="S41" i="7" a="1"/>
  <c r="S41" i="7" s="1"/>
  <c r="E41" i="7" a="1"/>
  <c r="E41" i="7" s="1"/>
  <c r="F41" i="7" a="1"/>
  <c r="F41" i="7" s="1"/>
  <c r="H23" i="7" a="1"/>
  <c r="H23" i="7" s="1"/>
  <c r="V171" i="7" a="1"/>
  <c r="V171" i="7" s="1"/>
  <c r="K170" i="7" a="1"/>
  <c r="K170" i="7" s="1"/>
  <c r="T168" i="7" a="1"/>
  <c r="T168" i="7" s="1"/>
  <c r="G167" i="7" a="1"/>
  <c r="G167" i="7" s="1"/>
  <c r="K165" i="7" a="1"/>
  <c r="K165" i="7" s="1"/>
  <c r="N157" i="7" a="1"/>
  <c r="N157" i="7" s="1"/>
  <c r="N152" i="7" a="1"/>
  <c r="N152" i="7" s="1"/>
  <c r="R149" i="7" a="1"/>
  <c r="R149" i="7" s="1"/>
  <c r="G138" i="7" a="1"/>
  <c r="G138" i="7" s="1"/>
  <c r="H131" i="7" a="1"/>
  <c r="H131" i="7" s="1"/>
  <c r="W105" i="7" a="1"/>
  <c r="W105" i="7" s="1"/>
  <c r="P169" i="7" a="1"/>
  <c r="P169" i="7" s="1"/>
  <c r="F169" i="7" a="1"/>
  <c r="F169" i="7" s="1"/>
  <c r="Q169" i="7" a="1"/>
  <c r="Q169" i="7" s="1"/>
  <c r="G169" i="7" a="1"/>
  <c r="G169" i="7" s="1"/>
  <c r="H169" i="7" a="1"/>
  <c r="H169" i="7" s="1"/>
  <c r="R169" i="7" a="1"/>
  <c r="R169" i="7" s="1"/>
  <c r="I169" i="7" a="1"/>
  <c r="I169" i="7" s="1"/>
  <c r="S169" i="7" a="1"/>
  <c r="S169" i="7" s="1"/>
  <c r="J169" i="7" a="1"/>
  <c r="J169" i="7" s="1"/>
  <c r="T169" i="7" a="1"/>
  <c r="T169" i="7" s="1"/>
  <c r="V169" i="7" a="1"/>
  <c r="V169" i="7" s="1"/>
  <c r="M169" i="7" a="1"/>
  <c r="M169" i="7" s="1"/>
  <c r="H37" i="7" a="1"/>
  <c r="H37" i="7" s="1"/>
  <c r="R37" i="7" a="1"/>
  <c r="R37" i="7" s="1"/>
  <c r="I37" i="7" a="1"/>
  <c r="I37" i="7" s="1"/>
  <c r="K37" i="7" a="1"/>
  <c r="K37" i="7" s="1"/>
  <c r="T37" i="7" a="1"/>
  <c r="T37" i="7" s="1"/>
  <c r="U37" i="7" a="1"/>
  <c r="U37" i="7" s="1"/>
  <c r="L37" i="7" a="1"/>
  <c r="L37" i="7" s="1"/>
  <c r="V37" i="7" a="1"/>
  <c r="V37" i="7" s="1"/>
  <c r="M37" i="7" a="1"/>
  <c r="M37" i="7" s="1"/>
  <c r="W37" i="7" a="1"/>
  <c r="W37" i="7" s="1"/>
  <c r="D37" i="7" a="1"/>
  <c r="D37" i="7" s="1"/>
  <c r="N37" i="7" a="1"/>
  <c r="N37" i="7" s="1"/>
  <c r="O37" i="7" a="1"/>
  <c r="O37" i="7" s="1"/>
  <c r="E37" i="7" a="1"/>
  <c r="E37" i="7" s="1"/>
  <c r="P37" i="7" a="1"/>
  <c r="P37" i="7" s="1"/>
  <c r="Q37" i="7" a="1"/>
  <c r="Q37" i="7" s="1"/>
  <c r="S37" i="7" a="1"/>
  <c r="S37" i="7" s="1"/>
  <c r="F37" i="7" a="1"/>
  <c r="F37" i="7" s="1"/>
  <c r="G37" i="7" a="1"/>
  <c r="G37" i="7" s="1"/>
  <c r="J37" i="7" a="1"/>
  <c r="J37" i="7" s="1"/>
  <c r="I132" i="7" a="1"/>
  <c r="I132" i="7" s="1"/>
  <c r="Q132" i="7" a="1"/>
  <c r="Q132" i="7" s="1"/>
  <c r="J132" i="7" a="1"/>
  <c r="J132" i="7" s="1"/>
  <c r="R132" i="7" a="1"/>
  <c r="R132" i="7" s="1"/>
  <c r="K132" i="7" a="1"/>
  <c r="K132" i="7" s="1"/>
  <c r="S132" i="7" a="1"/>
  <c r="S132" i="7" s="1"/>
  <c r="L132" i="7" a="1"/>
  <c r="L132" i="7" s="1"/>
  <c r="T132" i="7" a="1"/>
  <c r="T132" i="7" s="1"/>
  <c r="U132" i="7" a="1"/>
  <c r="U132" i="7" s="1"/>
  <c r="D132" i="7" a="1"/>
  <c r="D132" i="7" s="1"/>
  <c r="M132" i="7" a="1"/>
  <c r="M132" i="7" s="1"/>
  <c r="E132" i="7" a="1"/>
  <c r="E132" i="7" s="1"/>
  <c r="N132" i="7" a="1"/>
  <c r="N132" i="7" s="1"/>
  <c r="V132" i="7" a="1"/>
  <c r="V132" i="7" s="1"/>
  <c r="P132" i="7" a="1"/>
  <c r="P132" i="7" s="1"/>
  <c r="W132" i="7" a="1"/>
  <c r="W132" i="7" s="1"/>
  <c r="F132" i="7" a="1"/>
  <c r="F132" i="7" s="1"/>
  <c r="G132" i="7" a="1"/>
  <c r="G132" i="7" s="1"/>
  <c r="H132" i="7" a="1"/>
  <c r="H132" i="7" s="1"/>
  <c r="G172" i="7" a="1"/>
  <c r="G172" i="7" s="1"/>
  <c r="H172" i="7" a="1"/>
  <c r="H172" i="7" s="1"/>
  <c r="R172" i="7" a="1"/>
  <c r="R172" i="7" s="1"/>
  <c r="I172" i="7" a="1"/>
  <c r="I172" i="7" s="1"/>
  <c r="S172" i="7" a="1"/>
  <c r="S172" i="7" s="1"/>
  <c r="J172" i="7" a="1"/>
  <c r="J172" i="7" s="1"/>
  <c r="T172" i="7" a="1"/>
  <c r="T172" i="7" s="1"/>
  <c r="K172" i="7" a="1"/>
  <c r="K172" i="7" s="1"/>
  <c r="U172" i="7" a="1"/>
  <c r="U172" i="7" s="1"/>
  <c r="V172" i="7" a="1"/>
  <c r="V172" i="7" s="1"/>
  <c r="M172" i="7" a="1"/>
  <c r="M172" i="7" s="1"/>
  <c r="E172" i="7" a="1"/>
  <c r="E172" i="7" s="1"/>
  <c r="O172" i="7" a="1"/>
  <c r="O172" i="7" s="1"/>
  <c r="F160" i="7" a="1"/>
  <c r="F160" i="7" s="1"/>
  <c r="N160" i="7" a="1"/>
  <c r="N160" i="7" s="1"/>
  <c r="V160" i="7" a="1"/>
  <c r="V160" i="7" s="1"/>
  <c r="G160" i="7" a="1"/>
  <c r="G160" i="7" s="1"/>
  <c r="O160" i="7" a="1"/>
  <c r="O160" i="7" s="1"/>
  <c r="W160" i="7" a="1"/>
  <c r="W160" i="7" s="1"/>
  <c r="H160" i="7" a="1"/>
  <c r="H160" i="7" s="1"/>
  <c r="P160" i="7" a="1"/>
  <c r="P160" i="7" s="1"/>
  <c r="I160" i="7" a="1"/>
  <c r="I160" i="7" s="1"/>
  <c r="Q160" i="7" a="1"/>
  <c r="Q160" i="7" s="1"/>
  <c r="J160" i="7" a="1"/>
  <c r="J160" i="7" s="1"/>
  <c r="R160" i="7" a="1"/>
  <c r="R160" i="7" s="1"/>
  <c r="K160" i="7" a="1"/>
  <c r="K160" i="7" s="1"/>
  <c r="S160" i="7" a="1"/>
  <c r="S160" i="7" s="1"/>
  <c r="D160" i="7" a="1"/>
  <c r="D160" i="7" s="1"/>
  <c r="L160" i="7" a="1"/>
  <c r="L160" i="7" s="1"/>
  <c r="T160" i="7" a="1"/>
  <c r="T160" i="7" s="1"/>
  <c r="I148" i="7" a="1"/>
  <c r="I148" i="7" s="1"/>
  <c r="R148" i="7" a="1"/>
  <c r="R148" i="7" s="1"/>
  <c r="J148" i="7" a="1"/>
  <c r="J148" i="7" s="1"/>
  <c r="S148" i="7" a="1"/>
  <c r="S148" i="7" s="1"/>
  <c r="T148" i="7" a="1"/>
  <c r="T148" i="7" s="1"/>
  <c r="N148" i="7" a="1"/>
  <c r="N148" i="7" s="1"/>
  <c r="D148" i="7" a="1"/>
  <c r="D148" i="7" s="1"/>
  <c r="O148" i="7" a="1"/>
  <c r="O148" i="7" s="1"/>
  <c r="E148" i="7" a="1"/>
  <c r="E148" i="7" s="1"/>
  <c r="P148" i="7" a="1"/>
  <c r="P148" i="7" s="1"/>
  <c r="F148" i="7" a="1"/>
  <c r="F148" i="7" s="1"/>
  <c r="Q148" i="7" a="1"/>
  <c r="Q148" i="7" s="1"/>
  <c r="G148" i="7" a="1"/>
  <c r="G148" i="7" s="1"/>
  <c r="U148" i="7" a="1"/>
  <c r="U148" i="7" s="1"/>
  <c r="H148" i="7" a="1"/>
  <c r="H148" i="7" s="1"/>
  <c r="V148" i="7" a="1"/>
  <c r="V148" i="7" s="1"/>
  <c r="K148" i="7" a="1"/>
  <c r="K148" i="7" s="1"/>
  <c r="L148" i="7" a="1"/>
  <c r="L148" i="7" s="1"/>
  <c r="W148" i="7" a="1"/>
  <c r="W148" i="7" s="1"/>
  <c r="R136" i="7" a="1"/>
  <c r="R136" i="7" s="1"/>
  <c r="I136" i="7" a="1"/>
  <c r="I136" i="7" s="1"/>
  <c r="S136" i="7" a="1"/>
  <c r="S136" i="7" s="1"/>
  <c r="J136" i="7" a="1"/>
  <c r="J136" i="7" s="1"/>
  <c r="T136" i="7" a="1"/>
  <c r="T136" i="7" s="1"/>
  <c r="U136" i="7" a="1"/>
  <c r="U136" i="7" s="1"/>
  <c r="D136" i="7" a="1"/>
  <c r="D136" i="7" s="1"/>
  <c r="K136" i="7" a="1"/>
  <c r="K136" i="7" s="1"/>
  <c r="V136" i="7" a="1"/>
  <c r="V136" i="7" s="1"/>
  <c r="L136" i="7" a="1"/>
  <c r="L136" i="7" s="1"/>
  <c r="W136" i="7" a="1"/>
  <c r="W136" i="7" s="1"/>
  <c r="H136" i="7" a="1"/>
  <c r="H136" i="7" s="1"/>
  <c r="M136" i="7" a="1"/>
  <c r="M136" i="7" s="1"/>
  <c r="N136" i="7" a="1"/>
  <c r="N136" i="7" s="1"/>
  <c r="O136" i="7" a="1"/>
  <c r="O136" i="7" s="1"/>
  <c r="P136" i="7" a="1"/>
  <c r="P136" i="7" s="1"/>
  <c r="Q136" i="7" a="1"/>
  <c r="Q136" i="7" s="1"/>
  <c r="E136" i="7" a="1"/>
  <c r="E136" i="7" s="1"/>
  <c r="F136" i="7" a="1"/>
  <c r="F136" i="7" s="1"/>
  <c r="N124" i="7" a="1"/>
  <c r="N124" i="7" s="1"/>
  <c r="O124" i="7" a="1"/>
  <c r="O124" i="7" s="1"/>
  <c r="D124" i="7" a="1"/>
  <c r="D124" i="7" s="1"/>
  <c r="P124" i="7" a="1"/>
  <c r="P124" i="7" s="1"/>
  <c r="E124" i="7" a="1"/>
  <c r="E124" i="7" s="1"/>
  <c r="Q124" i="7" a="1"/>
  <c r="Q124" i="7" s="1"/>
  <c r="F124" i="7" a="1"/>
  <c r="F124" i="7" s="1"/>
  <c r="R124" i="7" a="1"/>
  <c r="R124" i="7" s="1"/>
  <c r="G124" i="7" a="1"/>
  <c r="G124" i="7" s="1"/>
  <c r="S124" i="7" a="1"/>
  <c r="S124" i="7" s="1"/>
  <c r="H124" i="7" a="1"/>
  <c r="H124" i="7" s="1"/>
  <c r="T124" i="7" a="1"/>
  <c r="T124" i="7" s="1"/>
  <c r="I124" i="7" a="1"/>
  <c r="I124" i="7" s="1"/>
  <c r="J124" i="7" a="1"/>
  <c r="J124" i="7" s="1"/>
  <c r="U124" i="7" a="1"/>
  <c r="U124" i="7" s="1"/>
  <c r="K124" i="7" a="1"/>
  <c r="K124" i="7" s="1"/>
  <c r="V124" i="7" a="1"/>
  <c r="V124" i="7" s="1"/>
  <c r="L124" i="7" a="1"/>
  <c r="L124" i="7" s="1"/>
  <c r="W124" i="7" a="1"/>
  <c r="W124" i="7" s="1"/>
  <c r="M124" i="7" a="1"/>
  <c r="M124" i="7" s="1"/>
  <c r="G112" i="7" a="1"/>
  <c r="G112" i="7" s="1"/>
  <c r="N112" i="7" a="1"/>
  <c r="N112" i="7" s="1"/>
  <c r="U112" i="7" a="1"/>
  <c r="U112" i="7" s="1"/>
  <c r="H112" i="7" a="1"/>
  <c r="H112" i="7" s="1"/>
  <c r="V112" i="7" a="1"/>
  <c r="V112" i="7" s="1"/>
  <c r="O112" i="7" a="1"/>
  <c r="O112" i="7" s="1"/>
  <c r="I112" i="7" a="1"/>
  <c r="I112" i="7" s="1"/>
  <c r="P112" i="7" a="1"/>
  <c r="P112" i="7" s="1"/>
  <c r="W112" i="7" a="1"/>
  <c r="W112" i="7" s="1"/>
  <c r="J112" i="7" a="1"/>
  <c r="J112" i="7" s="1"/>
  <c r="Q112" i="7" a="1"/>
  <c r="Q112" i="7" s="1"/>
  <c r="D112" i="7" a="1"/>
  <c r="D112" i="7" s="1"/>
  <c r="K112" i="7" a="1"/>
  <c r="K112" i="7" s="1"/>
  <c r="R112" i="7" a="1"/>
  <c r="R112" i="7" s="1"/>
  <c r="E112" i="7" a="1"/>
  <c r="E112" i="7" s="1"/>
  <c r="L112" i="7" a="1"/>
  <c r="L112" i="7" s="1"/>
  <c r="S112" i="7" a="1"/>
  <c r="S112" i="7" s="1"/>
  <c r="F112" i="7" a="1"/>
  <c r="F112" i="7" s="1"/>
  <c r="M112" i="7" a="1"/>
  <c r="M112" i="7" s="1"/>
  <c r="T112" i="7" a="1"/>
  <c r="T112" i="7" s="1"/>
  <c r="K100" i="7" a="1"/>
  <c r="K100" i="7" s="1"/>
  <c r="W100" i="7" a="1"/>
  <c r="W100" i="7" s="1"/>
  <c r="N100" i="7" a="1"/>
  <c r="N100" i="7" s="1"/>
  <c r="D100" i="7" a="1"/>
  <c r="D100" i="7" s="1"/>
  <c r="O100" i="7" a="1"/>
  <c r="O100" i="7" s="1"/>
  <c r="F100" i="7" a="1"/>
  <c r="F100" i="7" s="1"/>
  <c r="T100" i="7" a="1"/>
  <c r="T100" i="7" s="1"/>
  <c r="G100" i="7" a="1"/>
  <c r="G100" i="7" s="1"/>
  <c r="U100" i="7" a="1"/>
  <c r="U100" i="7" s="1"/>
  <c r="H100" i="7" a="1"/>
  <c r="H100" i="7" s="1"/>
  <c r="V100" i="7" a="1"/>
  <c r="V100" i="7" s="1"/>
  <c r="I100" i="7" a="1"/>
  <c r="I100" i="7" s="1"/>
  <c r="J100" i="7" a="1"/>
  <c r="J100" i="7" s="1"/>
  <c r="L100" i="7" a="1"/>
  <c r="L100" i="7" s="1"/>
  <c r="M100" i="7" a="1"/>
  <c r="M100" i="7" s="1"/>
  <c r="P100" i="7" a="1"/>
  <c r="P100" i="7" s="1"/>
  <c r="Q100" i="7" a="1"/>
  <c r="Q100" i="7" s="1"/>
  <c r="R100" i="7" a="1"/>
  <c r="R100" i="7" s="1"/>
  <c r="E100" i="7" a="1"/>
  <c r="E100" i="7" s="1"/>
  <c r="S100" i="7" a="1"/>
  <c r="S100" i="7" s="1"/>
  <c r="E88" i="7" a="1"/>
  <c r="E88" i="7" s="1"/>
  <c r="M88" i="7" a="1"/>
  <c r="M88" i="7" s="1"/>
  <c r="V88" i="7" a="1"/>
  <c r="V88" i="7" s="1"/>
  <c r="F88" i="7" a="1"/>
  <c r="F88" i="7" s="1"/>
  <c r="O88" i="7" a="1"/>
  <c r="O88" i="7" s="1"/>
  <c r="G88" i="7" a="1"/>
  <c r="G88" i="7" s="1"/>
  <c r="Q88" i="7" a="1"/>
  <c r="Q88" i="7" s="1"/>
  <c r="R88" i="7" a="1"/>
  <c r="R88" i="7" s="1"/>
  <c r="H88" i="7" a="1"/>
  <c r="H88" i="7" s="1"/>
  <c r="S88" i="7" a="1"/>
  <c r="S88" i="7" s="1"/>
  <c r="I88" i="7" a="1"/>
  <c r="I88" i="7" s="1"/>
  <c r="T88" i="7" a="1"/>
  <c r="T88" i="7" s="1"/>
  <c r="J88" i="7" a="1"/>
  <c r="J88" i="7" s="1"/>
  <c r="K88" i="7" a="1"/>
  <c r="K88" i="7" s="1"/>
  <c r="D88" i="7" a="1"/>
  <c r="D88" i="7" s="1"/>
  <c r="P88" i="7" a="1"/>
  <c r="P88" i="7" s="1"/>
  <c r="N88" i="7" a="1"/>
  <c r="N88" i="7" s="1"/>
  <c r="U88" i="7" a="1"/>
  <c r="U88" i="7" s="1"/>
  <c r="W88" i="7" a="1"/>
  <c r="W88" i="7" s="1"/>
  <c r="L88" i="7" a="1"/>
  <c r="L88" i="7" s="1"/>
  <c r="K76" i="7" a="1"/>
  <c r="K76" i="7" s="1"/>
  <c r="T76" i="7" a="1"/>
  <c r="T76" i="7" s="1"/>
  <c r="L76" i="7" a="1"/>
  <c r="L76" i="7" s="1"/>
  <c r="U76" i="7" a="1"/>
  <c r="U76" i="7" s="1"/>
  <c r="D76" i="7" a="1"/>
  <c r="D76" i="7" s="1"/>
  <c r="N76" i="7" a="1"/>
  <c r="N76" i="7" s="1"/>
  <c r="O76" i="7" a="1"/>
  <c r="O76" i="7" s="1"/>
  <c r="P76" i="7" a="1"/>
  <c r="P76" i="7" s="1"/>
  <c r="E76" i="7" a="1"/>
  <c r="E76" i="7" s="1"/>
  <c r="Q76" i="7" a="1"/>
  <c r="Q76" i="7" s="1"/>
  <c r="F76" i="7" a="1"/>
  <c r="F76" i="7" s="1"/>
  <c r="R76" i="7" a="1"/>
  <c r="R76" i="7" s="1"/>
  <c r="G76" i="7" a="1"/>
  <c r="G76" i="7" s="1"/>
  <c r="S76" i="7" a="1"/>
  <c r="S76" i="7" s="1"/>
  <c r="H76" i="7" a="1"/>
  <c r="H76" i="7" s="1"/>
  <c r="I76" i="7" a="1"/>
  <c r="I76" i="7" s="1"/>
  <c r="V76" i="7" a="1"/>
  <c r="V76" i="7" s="1"/>
  <c r="J76" i="7" a="1"/>
  <c r="J76" i="7" s="1"/>
  <c r="W76" i="7" a="1"/>
  <c r="W76" i="7" s="1"/>
  <c r="M76" i="7" a="1"/>
  <c r="M76" i="7" s="1"/>
  <c r="J64" i="7" a="1"/>
  <c r="J64" i="7" s="1"/>
  <c r="T64" i="7" a="1"/>
  <c r="T64" i="7" s="1"/>
  <c r="K64" i="7" a="1"/>
  <c r="K64" i="7" s="1"/>
  <c r="V64" i="7" a="1"/>
  <c r="V64" i="7" s="1"/>
  <c r="D64" i="7" a="1"/>
  <c r="D64" i="7" s="1"/>
  <c r="N64" i="7" a="1"/>
  <c r="N64" i="7" s="1"/>
  <c r="H64" i="7" a="1"/>
  <c r="H64" i="7" s="1"/>
  <c r="W64" i="7" a="1"/>
  <c r="W64" i="7" s="1"/>
  <c r="I64" i="7" a="1"/>
  <c r="I64" i="7" s="1"/>
  <c r="L64" i="7" a="1"/>
  <c r="L64" i="7" s="1"/>
  <c r="O64" i="7" a="1"/>
  <c r="O64" i="7" s="1"/>
  <c r="U64" i="7" a="1"/>
  <c r="U64" i="7" s="1"/>
  <c r="E64" i="7" a="1"/>
  <c r="E64" i="7" s="1"/>
  <c r="F64" i="7" a="1"/>
  <c r="F64" i="7" s="1"/>
  <c r="G64" i="7" a="1"/>
  <c r="G64" i="7" s="1"/>
  <c r="M64" i="7" a="1"/>
  <c r="M64" i="7" s="1"/>
  <c r="P64" i="7" a="1"/>
  <c r="P64" i="7" s="1"/>
  <c r="Q64" i="7" a="1"/>
  <c r="Q64" i="7" s="1"/>
  <c r="R64" i="7" a="1"/>
  <c r="R64" i="7" s="1"/>
  <c r="S64" i="7" a="1"/>
  <c r="S64" i="7" s="1"/>
  <c r="N52" i="7" a="1"/>
  <c r="N52" i="7" s="1"/>
  <c r="D52" i="7" a="1"/>
  <c r="D52" i="7" s="1"/>
  <c r="O52" i="7" a="1"/>
  <c r="O52" i="7" s="1"/>
  <c r="F52" i="7" a="1"/>
  <c r="F52" i="7" s="1"/>
  <c r="Q52" i="7" a="1"/>
  <c r="Q52" i="7" s="1"/>
  <c r="G52" i="7" a="1"/>
  <c r="G52" i="7" s="1"/>
  <c r="R52" i="7" a="1"/>
  <c r="R52" i="7" s="1"/>
  <c r="H52" i="7" a="1"/>
  <c r="H52" i="7" s="1"/>
  <c r="S52" i="7" a="1"/>
  <c r="S52" i="7" s="1"/>
  <c r="I52" i="7" a="1"/>
  <c r="I52" i="7" s="1"/>
  <c r="J52" i="7" a="1"/>
  <c r="J52" i="7" s="1"/>
  <c r="T52" i="7" a="1"/>
  <c r="T52" i="7" s="1"/>
  <c r="K52" i="7" a="1"/>
  <c r="K52" i="7" s="1"/>
  <c r="U52" i="7" a="1"/>
  <c r="U52" i="7" s="1"/>
  <c r="L52" i="7" a="1"/>
  <c r="L52" i="7" s="1"/>
  <c r="P52" i="7" a="1"/>
  <c r="P52" i="7" s="1"/>
  <c r="V52" i="7" a="1"/>
  <c r="V52" i="7" s="1"/>
  <c r="W52" i="7" a="1"/>
  <c r="W52" i="7" s="1"/>
  <c r="E52" i="7" a="1"/>
  <c r="E52" i="7" s="1"/>
  <c r="M52" i="7" a="1"/>
  <c r="M52" i="7" s="1"/>
  <c r="G40" i="7" a="1"/>
  <c r="G40" i="7" s="1"/>
  <c r="Q40" i="7" a="1"/>
  <c r="Q40" i="7" s="1"/>
  <c r="I40" i="7" a="1"/>
  <c r="I40" i="7" s="1"/>
  <c r="S40" i="7" a="1"/>
  <c r="S40" i="7" s="1"/>
  <c r="J40" i="7" a="1"/>
  <c r="J40" i="7" s="1"/>
  <c r="T40" i="7" a="1"/>
  <c r="T40" i="7" s="1"/>
  <c r="K40" i="7" a="1"/>
  <c r="K40" i="7" s="1"/>
  <c r="U40" i="7" a="1"/>
  <c r="U40" i="7" s="1"/>
  <c r="L40" i="7" a="1"/>
  <c r="L40" i="7" s="1"/>
  <c r="V40" i="7" a="1"/>
  <c r="V40" i="7" s="1"/>
  <c r="M40" i="7" a="1"/>
  <c r="M40" i="7" s="1"/>
  <c r="W40" i="7" a="1"/>
  <c r="W40" i="7" s="1"/>
  <c r="D40" i="7" a="1"/>
  <c r="D40" i="7" s="1"/>
  <c r="N40" i="7" a="1"/>
  <c r="N40" i="7" s="1"/>
  <c r="E40" i="7" a="1"/>
  <c r="E40" i="7" s="1"/>
  <c r="F40" i="7" a="1"/>
  <c r="F40" i="7" s="1"/>
  <c r="H40" i="7" a="1"/>
  <c r="H40" i="7" s="1"/>
  <c r="O40" i="7" a="1"/>
  <c r="O40" i="7" s="1"/>
  <c r="P40" i="7" a="1"/>
  <c r="P40" i="7" s="1"/>
  <c r="R40" i="7" a="1"/>
  <c r="R40" i="7" s="1"/>
  <c r="G23" i="7" a="1"/>
  <c r="G23" i="7" s="1"/>
  <c r="E170" i="7" a="1"/>
  <c r="E170" i="7" s="1"/>
  <c r="N168" i="7" a="1"/>
  <c r="N168" i="7" s="1"/>
  <c r="F167" i="7" a="1"/>
  <c r="F167" i="7" s="1"/>
  <c r="J165" i="7" a="1"/>
  <c r="J165" i="7" s="1"/>
  <c r="Q163" i="7" a="1"/>
  <c r="Q163" i="7" s="1"/>
  <c r="E162" i="7" a="1"/>
  <c r="E162" i="7" s="1"/>
  <c r="F155" i="7" a="1"/>
  <c r="F155" i="7" s="1"/>
  <c r="M152" i="7" a="1"/>
  <c r="M152" i="7" s="1"/>
  <c r="K142" i="7" a="1"/>
  <c r="K142" i="7" s="1"/>
  <c r="G131" i="7" a="1"/>
  <c r="G131" i="7" s="1"/>
  <c r="M105" i="7" a="1"/>
  <c r="M105" i="7" s="1"/>
  <c r="G145" i="7" a="1"/>
  <c r="G145" i="7" s="1"/>
  <c r="O145" i="7" a="1"/>
  <c r="O145" i="7" s="1"/>
  <c r="H145" i="7" a="1"/>
  <c r="H145" i="7" s="1"/>
  <c r="P145" i="7" a="1"/>
  <c r="P145" i="7" s="1"/>
  <c r="Q145" i="7" a="1"/>
  <c r="Q145" i="7" s="1"/>
  <c r="N145" i="7" a="1"/>
  <c r="N145" i="7" s="1"/>
  <c r="D145" i="7" a="1"/>
  <c r="D145" i="7" s="1"/>
  <c r="R145" i="7" a="1"/>
  <c r="R145" i="7" s="1"/>
  <c r="E145" i="7" a="1"/>
  <c r="E145" i="7" s="1"/>
  <c r="S145" i="7" a="1"/>
  <c r="S145" i="7" s="1"/>
  <c r="F145" i="7" a="1"/>
  <c r="F145" i="7" s="1"/>
  <c r="T145" i="7" a="1"/>
  <c r="T145" i="7" s="1"/>
  <c r="I145" i="7" a="1"/>
  <c r="I145" i="7" s="1"/>
  <c r="U145" i="7" a="1"/>
  <c r="U145" i="7" s="1"/>
  <c r="J145" i="7" a="1"/>
  <c r="J145" i="7" s="1"/>
  <c r="V145" i="7" a="1"/>
  <c r="V145" i="7" s="1"/>
  <c r="K145" i="7" a="1"/>
  <c r="K145" i="7" s="1"/>
  <c r="W145" i="7" a="1"/>
  <c r="W145" i="7" s="1"/>
  <c r="E25" i="7" a="1"/>
  <c r="E25" i="7" s="1"/>
  <c r="O25" i="7" a="1"/>
  <c r="O25" i="7" s="1"/>
  <c r="P25" i="7" a="1"/>
  <c r="P25" i="7" s="1"/>
  <c r="G25" i="7" a="1"/>
  <c r="G25" i="7" s="1"/>
  <c r="R25" i="7" a="1"/>
  <c r="R25" i="7" s="1"/>
  <c r="H25" i="7" a="1"/>
  <c r="H25" i="7" s="1"/>
  <c r="S25" i="7" a="1"/>
  <c r="S25" i="7" s="1"/>
  <c r="I25" i="7" a="1"/>
  <c r="I25" i="7" s="1"/>
  <c r="T25" i="7" a="1"/>
  <c r="T25" i="7" s="1"/>
  <c r="J25" i="7" a="1"/>
  <c r="J25" i="7" s="1"/>
  <c r="U25" i="7" a="1"/>
  <c r="U25" i="7" s="1"/>
  <c r="K25" i="7" a="1"/>
  <c r="K25" i="7" s="1"/>
  <c r="V25" i="7" a="1"/>
  <c r="V25" i="7" s="1"/>
  <c r="L25" i="7" a="1"/>
  <c r="L25" i="7" s="1"/>
  <c r="W25" i="7" a="1"/>
  <c r="W25" i="7" s="1"/>
  <c r="D25" i="7" a="1"/>
  <c r="D25" i="7" s="1"/>
  <c r="N25" i="7" a="1"/>
  <c r="N25" i="7" s="1"/>
  <c r="F25" i="7" a="1"/>
  <c r="F25" i="7" s="1"/>
  <c r="M25" i="7" a="1"/>
  <c r="M25" i="7" s="1"/>
  <c r="Q25" i="7" a="1"/>
  <c r="Q25" i="7" s="1"/>
  <c r="U169" i="7" a="1"/>
  <c r="U169" i="7" s="1"/>
  <c r="I144" i="7" a="1"/>
  <c r="I144" i="7" s="1"/>
  <c r="R144" i="7" a="1"/>
  <c r="R144" i="7" s="1"/>
  <c r="J144" i="7" a="1"/>
  <c r="J144" i="7" s="1"/>
  <c r="S144" i="7" a="1"/>
  <c r="S144" i="7" s="1"/>
  <c r="K144" i="7" a="1"/>
  <c r="K144" i="7" s="1"/>
  <c r="L144" i="7" a="1"/>
  <c r="L144" i="7" s="1"/>
  <c r="W144" i="7" a="1"/>
  <c r="W144" i="7" s="1"/>
  <c r="M144" i="7" a="1"/>
  <c r="M144" i="7" s="1"/>
  <c r="N144" i="7" a="1"/>
  <c r="N144" i="7" s="1"/>
  <c r="O144" i="7" a="1"/>
  <c r="O144" i="7" s="1"/>
  <c r="D144" i="7" a="1"/>
  <c r="D144" i="7" s="1"/>
  <c r="E144" i="7" a="1"/>
  <c r="E144" i="7" s="1"/>
  <c r="P144" i="7" a="1"/>
  <c r="P144" i="7" s="1"/>
  <c r="F144" i="7" a="1"/>
  <c r="F144" i="7" s="1"/>
  <c r="Q144" i="7" a="1"/>
  <c r="Q144" i="7" s="1"/>
  <c r="G144" i="7" a="1"/>
  <c r="G144" i="7" s="1"/>
  <c r="T144" i="7" a="1"/>
  <c r="T144" i="7" s="1"/>
  <c r="G171" i="7" a="1"/>
  <c r="G171" i="7" s="1"/>
  <c r="Q171" i="7" a="1"/>
  <c r="Q171" i="7" s="1"/>
  <c r="R171" i="7" a="1"/>
  <c r="R171" i="7" s="1"/>
  <c r="H171" i="7" a="1"/>
  <c r="H171" i="7" s="1"/>
  <c r="S171" i="7" a="1"/>
  <c r="S171" i="7" s="1"/>
  <c r="I171" i="7" a="1"/>
  <c r="I171" i="7" s="1"/>
  <c r="J171" i="7" a="1"/>
  <c r="J171" i="7" s="1"/>
  <c r="T171" i="7" a="1"/>
  <c r="T171" i="7" s="1"/>
  <c r="K171" i="7" a="1"/>
  <c r="K171" i="7" s="1"/>
  <c r="U171" i="7" a="1"/>
  <c r="U171" i="7" s="1"/>
  <c r="M171" i="7" a="1"/>
  <c r="M171" i="7" s="1"/>
  <c r="W171" i="7" a="1"/>
  <c r="W171" i="7" s="1"/>
  <c r="D171" i="7" a="1"/>
  <c r="D171" i="7" s="1"/>
  <c r="N171" i="7" a="1"/>
  <c r="N171" i="7" s="1"/>
  <c r="K159" i="7" a="1"/>
  <c r="K159" i="7" s="1"/>
  <c r="R159" i="7" a="1"/>
  <c r="R159" i="7" s="1"/>
  <c r="D159" i="7" a="1"/>
  <c r="D159" i="7" s="1"/>
  <c r="S159" i="7" a="1"/>
  <c r="S159" i="7" s="1"/>
  <c r="E159" i="7" a="1"/>
  <c r="E159" i="7" s="1"/>
  <c r="L159" i="7" a="1"/>
  <c r="L159" i="7" s="1"/>
  <c r="T159" i="7" a="1"/>
  <c r="T159" i="7" s="1"/>
  <c r="F159" i="7" a="1"/>
  <c r="F159" i="7" s="1"/>
  <c r="M159" i="7" a="1"/>
  <c r="M159" i="7" s="1"/>
  <c r="U159" i="7" a="1"/>
  <c r="U159" i="7" s="1"/>
  <c r="G159" i="7" a="1"/>
  <c r="G159" i="7" s="1"/>
  <c r="N159" i="7" a="1"/>
  <c r="N159" i="7" s="1"/>
  <c r="V159" i="7" a="1"/>
  <c r="V159" i="7" s="1"/>
  <c r="O159" i="7" a="1"/>
  <c r="O159" i="7" s="1"/>
  <c r="W159" i="7" a="1"/>
  <c r="W159" i="7" s="1"/>
  <c r="H159" i="7" a="1"/>
  <c r="H159" i="7" s="1"/>
  <c r="I159" i="7" a="1"/>
  <c r="I159" i="7" s="1"/>
  <c r="P159" i="7" a="1"/>
  <c r="P159" i="7" s="1"/>
  <c r="T147" i="7" a="1"/>
  <c r="T147" i="7" s="1"/>
  <c r="K147" i="7" a="1"/>
  <c r="K147" i="7" s="1"/>
  <c r="U147" i="7" a="1"/>
  <c r="U147" i="7" s="1"/>
  <c r="D147" i="7" a="1"/>
  <c r="D147" i="7" s="1"/>
  <c r="L147" i="7" a="1"/>
  <c r="L147" i="7" s="1"/>
  <c r="J147" i="7" a="1"/>
  <c r="J147" i="7" s="1"/>
  <c r="W147" i="7" a="1"/>
  <c r="W147" i="7" s="1"/>
  <c r="M147" i="7" a="1"/>
  <c r="M147" i="7" s="1"/>
  <c r="N147" i="7" a="1"/>
  <c r="N147" i="7" s="1"/>
  <c r="E147" i="7" a="1"/>
  <c r="E147" i="7" s="1"/>
  <c r="O147" i="7" a="1"/>
  <c r="O147" i="7" s="1"/>
  <c r="F147" i="7" a="1"/>
  <c r="F147" i="7" s="1"/>
  <c r="P147" i="7" a="1"/>
  <c r="P147" i="7" s="1"/>
  <c r="Q147" i="7" a="1"/>
  <c r="Q147" i="7" s="1"/>
  <c r="G147" i="7" a="1"/>
  <c r="G147" i="7" s="1"/>
  <c r="R147" i="7" a="1"/>
  <c r="R147" i="7" s="1"/>
  <c r="H147" i="7" a="1"/>
  <c r="H147" i="7" s="1"/>
  <c r="S147" i="7" a="1"/>
  <c r="S147" i="7" s="1"/>
  <c r="L135" i="7" a="1"/>
  <c r="L135" i="7" s="1"/>
  <c r="U135" i="7" a="1"/>
  <c r="U135" i="7" s="1"/>
  <c r="M135" i="7" a="1"/>
  <c r="M135" i="7" s="1"/>
  <c r="V135" i="7" a="1"/>
  <c r="V135" i="7" s="1"/>
  <c r="N135" i="7" a="1"/>
  <c r="N135" i="7" s="1"/>
  <c r="W135" i="7" a="1"/>
  <c r="W135" i="7" s="1"/>
  <c r="D135" i="7" a="1"/>
  <c r="D135" i="7" s="1"/>
  <c r="E135" i="7" a="1"/>
  <c r="E135" i="7" s="1"/>
  <c r="O135" i="7" a="1"/>
  <c r="O135" i="7" s="1"/>
  <c r="F135" i="7" a="1"/>
  <c r="F135" i="7" s="1"/>
  <c r="G135" i="7" a="1"/>
  <c r="G135" i="7" s="1"/>
  <c r="Q135" i="7" a="1"/>
  <c r="Q135" i="7" s="1"/>
  <c r="J135" i="7" a="1"/>
  <c r="J135" i="7" s="1"/>
  <c r="K135" i="7" a="1"/>
  <c r="K135" i="7" s="1"/>
  <c r="P135" i="7" a="1"/>
  <c r="P135" i="7" s="1"/>
  <c r="R135" i="7" a="1"/>
  <c r="R135" i="7" s="1"/>
  <c r="S135" i="7" a="1"/>
  <c r="S135" i="7" s="1"/>
  <c r="T135" i="7" a="1"/>
  <c r="T135" i="7" s="1"/>
  <c r="K123" i="7" a="1"/>
  <c r="K123" i="7" s="1"/>
  <c r="V123" i="7" a="1"/>
  <c r="V123" i="7" s="1"/>
  <c r="L123" i="7" a="1"/>
  <c r="L123" i="7" s="1"/>
  <c r="W123" i="7" a="1"/>
  <c r="W123" i="7" s="1"/>
  <c r="M123" i="7" a="1"/>
  <c r="M123" i="7" s="1"/>
  <c r="N123" i="7" a="1"/>
  <c r="N123" i="7" s="1"/>
  <c r="D123" i="7" a="1"/>
  <c r="D123" i="7" s="1"/>
  <c r="O123" i="7" a="1"/>
  <c r="O123" i="7" s="1"/>
  <c r="E123" i="7" a="1"/>
  <c r="E123" i="7" s="1"/>
  <c r="P123" i="7" a="1"/>
  <c r="P123" i="7" s="1"/>
  <c r="F123" i="7" a="1"/>
  <c r="F123" i="7" s="1"/>
  <c r="G123" i="7" a="1"/>
  <c r="G123" i="7" s="1"/>
  <c r="Q123" i="7" a="1"/>
  <c r="Q123" i="7" s="1"/>
  <c r="H123" i="7" a="1"/>
  <c r="H123" i="7" s="1"/>
  <c r="R123" i="7" a="1"/>
  <c r="R123" i="7" s="1"/>
  <c r="I123" i="7" a="1"/>
  <c r="I123" i="7" s="1"/>
  <c r="S123" i="7" a="1"/>
  <c r="S123" i="7" s="1"/>
  <c r="J123" i="7" a="1"/>
  <c r="J123" i="7" s="1"/>
  <c r="T123" i="7" a="1"/>
  <c r="T123" i="7" s="1"/>
  <c r="U123" i="7" a="1"/>
  <c r="U123" i="7" s="1"/>
  <c r="N111" i="7" a="1"/>
  <c r="N111" i="7" s="1"/>
  <c r="E111" i="7" a="1"/>
  <c r="E111" i="7" s="1"/>
  <c r="F111" i="7" a="1"/>
  <c r="F111" i="7" s="1"/>
  <c r="M111" i="7" a="1"/>
  <c r="M111" i="7" s="1"/>
  <c r="T111" i="7" a="1"/>
  <c r="T111" i="7" s="1"/>
  <c r="U111" i="7" a="1"/>
  <c r="U111" i="7" s="1"/>
  <c r="G111" i="7" a="1"/>
  <c r="G111" i="7" s="1"/>
  <c r="H111" i="7" a="1"/>
  <c r="H111" i="7" s="1"/>
  <c r="O111" i="7" a="1"/>
  <c r="O111" i="7" s="1"/>
  <c r="V111" i="7" a="1"/>
  <c r="V111" i="7" s="1"/>
  <c r="I111" i="7" a="1"/>
  <c r="I111" i="7" s="1"/>
  <c r="P111" i="7" a="1"/>
  <c r="P111" i="7" s="1"/>
  <c r="W111" i="7" a="1"/>
  <c r="W111" i="7" s="1"/>
  <c r="J111" i="7" a="1"/>
  <c r="J111" i="7" s="1"/>
  <c r="Q111" i="7" a="1"/>
  <c r="Q111" i="7" s="1"/>
  <c r="R111" i="7" a="1"/>
  <c r="R111" i="7" s="1"/>
  <c r="D111" i="7" a="1"/>
  <c r="D111" i="7" s="1"/>
  <c r="K111" i="7" a="1"/>
  <c r="K111" i="7" s="1"/>
  <c r="U99" i="7" a="1"/>
  <c r="U99" i="7" s="1"/>
  <c r="L99" i="7" a="1"/>
  <c r="L99" i="7" s="1"/>
  <c r="W99" i="7" a="1"/>
  <c r="W99" i="7" s="1"/>
  <c r="M99" i="7" a="1"/>
  <c r="M99" i="7" s="1"/>
  <c r="J99" i="7" a="1"/>
  <c r="J99" i="7" s="1"/>
  <c r="K99" i="7" a="1"/>
  <c r="K99" i="7" s="1"/>
  <c r="N99" i="7" a="1"/>
  <c r="N99" i="7" s="1"/>
  <c r="O99" i="7" a="1"/>
  <c r="O99" i="7" s="1"/>
  <c r="P99" i="7" a="1"/>
  <c r="P99" i="7" s="1"/>
  <c r="Q99" i="7" a="1"/>
  <c r="Q99" i="7" s="1"/>
  <c r="D99" i="7" a="1"/>
  <c r="D99" i="7" s="1"/>
  <c r="R99" i="7" a="1"/>
  <c r="R99" i="7" s="1"/>
  <c r="E99" i="7" a="1"/>
  <c r="E99" i="7" s="1"/>
  <c r="S99" i="7" a="1"/>
  <c r="S99" i="7" s="1"/>
  <c r="F99" i="7" a="1"/>
  <c r="F99" i="7" s="1"/>
  <c r="T99" i="7" a="1"/>
  <c r="T99" i="7" s="1"/>
  <c r="G99" i="7" a="1"/>
  <c r="G99" i="7" s="1"/>
  <c r="H99" i="7" a="1"/>
  <c r="H99" i="7" s="1"/>
  <c r="V99" i="7" a="1"/>
  <c r="V99" i="7" s="1"/>
  <c r="I99" i="7" a="1"/>
  <c r="I99" i="7" s="1"/>
  <c r="P87" i="7" a="1"/>
  <c r="P87" i="7" s="1"/>
  <c r="I87" i="7" a="1"/>
  <c r="I87" i="7" s="1"/>
  <c r="Q87" i="7" a="1"/>
  <c r="Q87" i="7" s="1"/>
  <c r="E87" i="7" a="1"/>
  <c r="E87" i="7" s="1"/>
  <c r="O87" i="7" a="1"/>
  <c r="O87" i="7" s="1"/>
  <c r="F87" i="7" a="1"/>
  <c r="F87" i="7" s="1"/>
  <c r="G87" i="7" a="1"/>
  <c r="G87" i="7" s="1"/>
  <c r="R87" i="7" a="1"/>
  <c r="R87" i="7" s="1"/>
  <c r="H87" i="7" a="1"/>
  <c r="H87" i="7" s="1"/>
  <c r="S87" i="7" a="1"/>
  <c r="S87" i="7" s="1"/>
  <c r="J87" i="7" a="1"/>
  <c r="J87" i="7" s="1"/>
  <c r="K87" i="7" a="1"/>
  <c r="K87" i="7" s="1"/>
  <c r="T87" i="7" a="1"/>
  <c r="T87" i="7" s="1"/>
  <c r="L87" i="7" a="1"/>
  <c r="L87" i="7" s="1"/>
  <c r="M87" i="7" a="1"/>
  <c r="M87" i="7" s="1"/>
  <c r="V87" i="7" a="1"/>
  <c r="V87" i="7" s="1"/>
  <c r="D87" i="7" a="1"/>
  <c r="D87" i="7" s="1"/>
  <c r="N87" i="7" a="1"/>
  <c r="N87" i="7" s="1"/>
  <c r="U87" i="7" a="1"/>
  <c r="U87" i="7" s="1"/>
  <c r="W87" i="7" a="1"/>
  <c r="W87" i="7" s="1"/>
  <c r="E75" i="7" a="1"/>
  <c r="E75" i="7" s="1"/>
  <c r="U75" i="7" a="1"/>
  <c r="U75" i="7" s="1"/>
  <c r="N75" i="7" a="1"/>
  <c r="N75" i="7" s="1"/>
  <c r="F75" i="7" a="1"/>
  <c r="F75" i="7" s="1"/>
  <c r="O75" i="7" a="1"/>
  <c r="O75" i="7" s="1"/>
  <c r="V75" i="7" a="1"/>
  <c r="V75" i="7" s="1"/>
  <c r="G75" i="7" a="1"/>
  <c r="G75" i="7" s="1"/>
  <c r="H75" i="7" a="1"/>
  <c r="H75" i="7" s="1"/>
  <c r="I75" i="7" a="1"/>
  <c r="I75" i="7" s="1"/>
  <c r="T75" i="7" a="1"/>
  <c r="T75" i="7" s="1"/>
  <c r="J75" i="7" a="1"/>
  <c r="J75" i="7" s="1"/>
  <c r="W75" i="7" a="1"/>
  <c r="W75" i="7" s="1"/>
  <c r="K75" i="7" a="1"/>
  <c r="K75" i="7" s="1"/>
  <c r="L75" i="7" a="1"/>
  <c r="L75" i="7" s="1"/>
  <c r="M75" i="7" a="1"/>
  <c r="M75" i="7" s="1"/>
  <c r="P75" i="7" a="1"/>
  <c r="P75" i="7" s="1"/>
  <c r="Q75" i="7" a="1"/>
  <c r="Q75" i="7" s="1"/>
  <c r="D75" i="7" a="1"/>
  <c r="D75" i="7" s="1"/>
  <c r="R75" i="7" a="1"/>
  <c r="R75" i="7" s="1"/>
  <c r="S75" i="7" a="1"/>
  <c r="S75" i="7" s="1"/>
  <c r="T63" i="7" a="1"/>
  <c r="T63" i="7" s="1"/>
  <c r="J63" i="7" a="1"/>
  <c r="J63" i="7" s="1"/>
  <c r="U63" i="7" a="1"/>
  <c r="U63" i="7" s="1"/>
  <c r="L63" i="7" a="1"/>
  <c r="L63" i="7" s="1"/>
  <c r="M63" i="7" a="1"/>
  <c r="M63" i="7" s="1"/>
  <c r="W63" i="7" a="1"/>
  <c r="W63" i="7" s="1"/>
  <c r="N63" i="7" a="1"/>
  <c r="N63" i="7" s="1"/>
  <c r="D63" i="7" a="1"/>
  <c r="D63" i="7" s="1"/>
  <c r="O63" i="7" a="1"/>
  <c r="O63" i="7" s="1"/>
  <c r="P63" i="7" a="1"/>
  <c r="P63" i="7" s="1"/>
  <c r="R63" i="7" a="1"/>
  <c r="R63" i="7" s="1"/>
  <c r="V63" i="7" a="1"/>
  <c r="V63" i="7" s="1"/>
  <c r="E63" i="7" a="1"/>
  <c r="E63" i="7" s="1"/>
  <c r="F63" i="7" a="1"/>
  <c r="F63" i="7" s="1"/>
  <c r="G63" i="7" a="1"/>
  <c r="G63" i="7" s="1"/>
  <c r="H63" i="7" a="1"/>
  <c r="H63" i="7" s="1"/>
  <c r="I63" i="7" a="1"/>
  <c r="I63" i="7" s="1"/>
  <c r="K63" i="7" a="1"/>
  <c r="K63" i="7" s="1"/>
  <c r="S63" i="7" a="1"/>
  <c r="S63" i="7" s="1"/>
  <c r="Q63" i="7" a="1"/>
  <c r="Q63" i="7" s="1"/>
  <c r="E51" i="7" a="1"/>
  <c r="E51" i="7" s="1"/>
  <c r="N51" i="7" a="1"/>
  <c r="N51" i="7" s="1"/>
  <c r="W51" i="7" a="1"/>
  <c r="W51" i="7" s="1"/>
  <c r="O51" i="7" a="1"/>
  <c r="O51" i="7" s="1"/>
  <c r="G51" i="7" a="1"/>
  <c r="G51" i="7" s="1"/>
  <c r="P51" i="7" a="1"/>
  <c r="P51" i="7" s="1"/>
  <c r="H51" i="7" a="1"/>
  <c r="H51" i="7" s="1"/>
  <c r="Q51" i="7" a="1"/>
  <c r="Q51" i="7" s="1"/>
  <c r="I51" i="7" a="1"/>
  <c r="I51" i="7" s="1"/>
  <c r="R51" i="7" a="1"/>
  <c r="R51" i="7" s="1"/>
  <c r="S51" i="7" a="1"/>
  <c r="S51" i="7" s="1"/>
  <c r="J51" i="7" a="1"/>
  <c r="J51" i="7" s="1"/>
  <c r="K51" i="7" a="1"/>
  <c r="K51" i="7" s="1"/>
  <c r="T51" i="7" a="1"/>
  <c r="T51" i="7" s="1"/>
  <c r="L51" i="7" a="1"/>
  <c r="L51" i="7" s="1"/>
  <c r="U51" i="7" a="1"/>
  <c r="U51" i="7" s="1"/>
  <c r="D51" i="7" a="1"/>
  <c r="D51" i="7" s="1"/>
  <c r="F51" i="7" a="1"/>
  <c r="F51" i="7" s="1"/>
  <c r="M51" i="7" a="1"/>
  <c r="M51" i="7" s="1"/>
  <c r="V51" i="7" a="1"/>
  <c r="V51" i="7" s="1"/>
  <c r="Q39" i="7" a="1"/>
  <c r="Q39" i="7" s="1"/>
  <c r="H39" i="7" a="1"/>
  <c r="H39" i="7" s="1"/>
  <c r="R39" i="7" a="1"/>
  <c r="R39" i="7" s="1"/>
  <c r="J39" i="7" a="1"/>
  <c r="J39" i="7" s="1"/>
  <c r="K39" i="7" a="1"/>
  <c r="K39" i="7" s="1"/>
  <c r="T39" i="7" a="1"/>
  <c r="T39" i="7" s="1"/>
  <c r="L39" i="7" a="1"/>
  <c r="L39" i="7" s="1"/>
  <c r="U39" i="7" a="1"/>
  <c r="U39" i="7" s="1"/>
  <c r="M39" i="7" a="1"/>
  <c r="M39" i="7" s="1"/>
  <c r="V39" i="7" a="1"/>
  <c r="V39" i="7" s="1"/>
  <c r="D39" i="7" a="1"/>
  <c r="D39" i="7" s="1"/>
  <c r="N39" i="7" a="1"/>
  <c r="N39" i="7" s="1"/>
  <c r="W39" i="7" a="1"/>
  <c r="W39" i="7" s="1"/>
  <c r="E39" i="7" a="1"/>
  <c r="E39" i="7" s="1"/>
  <c r="P39" i="7" a="1"/>
  <c r="P39" i="7" s="1"/>
  <c r="S39" i="7" a="1"/>
  <c r="S39" i="7" s="1"/>
  <c r="F39" i="7" a="1"/>
  <c r="F39" i="7" s="1"/>
  <c r="G39" i="7" a="1"/>
  <c r="G39" i="7" s="1"/>
  <c r="O39" i="7" a="1"/>
  <c r="O39" i="7" s="1"/>
  <c r="I39" i="7" a="1"/>
  <c r="I39" i="7" s="1"/>
  <c r="H27" i="7" a="1"/>
  <c r="H27" i="7" s="1"/>
  <c r="S27" i="7" a="1"/>
  <c r="S27" i="7" s="1"/>
  <c r="T27" i="7" a="1"/>
  <c r="T27" i="7" s="1"/>
  <c r="J27" i="7" a="1"/>
  <c r="J27" i="7" s="1"/>
  <c r="V27" i="7" a="1"/>
  <c r="V27" i="7" s="1"/>
  <c r="K27" i="7" a="1"/>
  <c r="K27" i="7" s="1"/>
  <c r="W27" i="7" a="1"/>
  <c r="W27" i="7" s="1"/>
  <c r="L27" i="7" a="1"/>
  <c r="L27" i="7" s="1"/>
  <c r="M27" i="7" a="1"/>
  <c r="M27" i="7" s="1"/>
  <c r="N27" i="7" a="1"/>
  <c r="N27" i="7" s="1"/>
  <c r="D27" i="7" a="1"/>
  <c r="D27" i="7" s="1"/>
  <c r="O27" i="7" a="1"/>
  <c r="O27" i="7" s="1"/>
  <c r="E27" i="7" a="1"/>
  <c r="E27" i="7" s="1"/>
  <c r="P27" i="7" a="1"/>
  <c r="P27" i="7" s="1"/>
  <c r="G27" i="7" a="1"/>
  <c r="G27" i="7" s="1"/>
  <c r="I27" i="7" a="1"/>
  <c r="I27" i="7" s="1"/>
  <c r="Q27" i="7" a="1"/>
  <c r="Q27" i="7" s="1"/>
  <c r="R27" i="7" a="1"/>
  <c r="R27" i="7" s="1"/>
  <c r="U27" i="7" a="1"/>
  <c r="U27" i="7" s="1"/>
  <c r="F27" i="7" a="1"/>
  <c r="F27" i="7" s="1"/>
  <c r="F23" i="7" a="1"/>
  <c r="F23" i="7" s="1"/>
  <c r="O171" i="7" a="1"/>
  <c r="O171" i="7" s="1"/>
  <c r="D167" i="7" a="1"/>
  <c r="D167" i="7" s="1"/>
  <c r="H165" i="7" a="1"/>
  <c r="H165" i="7" s="1"/>
  <c r="J159" i="7" a="1"/>
  <c r="J159" i="7" s="1"/>
  <c r="G157" i="7" a="1"/>
  <c r="G157" i="7" s="1"/>
  <c r="R154" i="7" a="1"/>
  <c r="R154" i="7" s="1"/>
  <c r="D149" i="7" a="1"/>
  <c r="D149" i="7" s="1"/>
  <c r="M145" i="7" a="1"/>
  <c r="M145" i="7" s="1"/>
  <c r="H137" i="7" a="1"/>
  <c r="H137" i="7" s="1"/>
  <c r="T129" i="7" a="1"/>
  <c r="T129" i="7" s="1"/>
  <c r="J97" i="7" a="1"/>
  <c r="J97" i="7" s="1"/>
  <c r="E109" i="7" a="1"/>
  <c r="E109" i="7" s="1"/>
  <c r="M109" i="7" a="1"/>
  <c r="M109" i="7" s="1"/>
  <c r="U109" i="7" a="1"/>
  <c r="U109" i="7" s="1"/>
  <c r="G109" i="7" a="1"/>
  <c r="G109" i="7" s="1"/>
  <c r="Q109" i="7" a="1"/>
  <c r="Q109" i="7" s="1"/>
  <c r="K109" i="7" a="1"/>
  <c r="K109" i="7" s="1"/>
  <c r="V109" i="7" a="1"/>
  <c r="V109" i="7" s="1"/>
  <c r="L109" i="7" a="1"/>
  <c r="L109" i="7" s="1"/>
  <c r="N109" i="7" a="1"/>
  <c r="N109" i="7" s="1"/>
  <c r="W109" i="7" a="1"/>
  <c r="W109" i="7" s="1"/>
  <c r="D109" i="7" a="1"/>
  <c r="D109" i="7" s="1"/>
  <c r="O109" i="7" a="1"/>
  <c r="O109" i="7" s="1"/>
  <c r="P109" i="7" a="1"/>
  <c r="P109" i="7" s="1"/>
  <c r="F109" i="7" a="1"/>
  <c r="F109" i="7" s="1"/>
  <c r="R109" i="7" a="1"/>
  <c r="R109" i="7" s="1"/>
  <c r="H109" i="7" a="1"/>
  <c r="H109" i="7" s="1"/>
  <c r="S109" i="7" a="1"/>
  <c r="S109" i="7" s="1"/>
  <c r="I109" i="7" a="1"/>
  <c r="I109" i="7" s="1"/>
  <c r="T109" i="7" a="1"/>
  <c r="T109" i="7" s="1"/>
  <c r="J109" i="7" a="1"/>
  <c r="J109" i="7" s="1"/>
  <c r="H84" i="7" a="1"/>
  <c r="H84" i="7" s="1"/>
  <c r="I84" i="7" a="1"/>
  <c r="I84" i="7" s="1"/>
  <c r="R84" i="7" a="1"/>
  <c r="R84" i="7" s="1"/>
  <c r="D84" i="7" a="1"/>
  <c r="D84" i="7" s="1"/>
  <c r="N84" i="7" a="1"/>
  <c r="N84" i="7" s="1"/>
  <c r="O84" i="7" a="1"/>
  <c r="O84" i="7" s="1"/>
  <c r="E84" i="7" a="1"/>
  <c r="E84" i="7" s="1"/>
  <c r="F84" i="7" a="1"/>
  <c r="F84" i="7" s="1"/>
  <c r="P84" i="7" a="1"/>
  <c r="P84" i="7" s="1"/>
  <c r="G84" i="7" a="1"/>
  <c r="G84" i="7" s="1"/>
  <c r="Q84" i="7" a="1"/>
  <c r="Q84" i="7" s="1"/>
  <c r="S84" i="7" a="1"/>
  <c r="S84" i="7" s="1"/>
  <c r="T84" i="7" a="1"/>
  <c r="T84" i="7" s="1"/>
  <c r="J84" i="7" a="1"/>
  <c r="J84" i="7" s="1"/>
  <c r="K84" i="7" a="1"/>
  <c r="K84" i="7" s="1"/>
  <c r="U84" i="7" a="1"/>
  <c r="U84" i="7" s="1"/>
  <c r="L84" i="7" a="1"/>
  <c r="L84" i="7" s="1"/>
  <c r="W84" i="7" a="1"/>
  <c r="W84" i="7" s="1"/>
  <c r="M84" i="7" a="1"/>
  <c r="M84" i="7" s="1"/>
  <c r="V84" i="7" a="1"/>
  <c r="V84" i="7" s="1"/>
  <c r="I60" i="7" a="1"/>
  <c r="I60" i="7" s="1"/>
  <c r="R60" i="7" a="1"/>
  <c r="R60" i="7" s="1"/>
  <c r="S60" i="7" a="1"/>
  <c r="S60" i="7" s="1"/>
  <c r="K60" i="7" a="1"/>
  <c r="K60" i="7" s="1"/>
  <c r="U60" i="7" a="1"/>
  <c r="U60" i="7" s="1"/>
  <c r="L60" i="7" a="1"/>
  <c r="L60" i="7" s="1"/>
  <c r="V60" i="7" a="1"/>
  <c r="V60" i="7" s="1"/>
  <c r="D60" i="7" a="1"/>
  <c r="D60" i="7" s="1"/>
  <c r="M60" i="7" a="1"/>
  <c r="M60" i="7" s="1"/>
  <c r="W60" i="7" a="1"/>
  <c r="W60" i="7" s="1"/>
  <c r="N60" i="7" a="1"/>
  <c r="N60" i="7" s="1"/>
  <c r="O60" i="7" a="1"/>
  <c r="O60" i="7" s="1"/>
  <c r="Q60" i="7" a="1"/>
  <c r="Q60" i="7" s="1"/>
  <c r="T60" i="7" a="1"/>
  <c r="T60" i="7" s="1"/>
  <c r="E60" i="7" a="1"/>
  <c r="E60" i="7" s="1"/>
  <c r="F60" i="7" a="1"/>
  <c r="F60" i="7" s="1"/>
  <c r="G60" i="7" a="1"/>
  <c r="G60" i="7" s="1"/>
  <c r="J60" i="7" a="1"/>
  <c r="J60" i="7" s="1"/>
  <c r="P60" i="7" a="1"/>
  <c r="P60" i="7" s="1"/>
  <c r="H60" i="7" a="1"/>
  <c r="H60" i="7" s="1"/>
  <c r="D24" i="7" a="1"/>
  <c r="D24" i="7" s="1"/>
  <c r="N24" i="7" a="1"/>
  <c r="N24" i="7" s="1"/>
  <c r="E24" i="7" a="1"/>
  <c r="E24" i="7" s="1"/>
  <c r="F24" i="7" a="1"/>
  <c r="F24" i="7" s="1"/>
  <c r="G24" i="7" a="1"/>
  <c r="G24" i="7" s="1"/>
  <c r="P24" i="7" a="1"/>
  <c r="P24" i="7" s="1"/>
  <c r="Q24" i="7" a="1"/>
  <c r="Q24" i="7" s="1"/>
  <c r="H24" i="7" a="1"/>
  <c r="H24" i="7" s="1"/>
  <c r="R24" i="7" a="1"/>
  <c r="R24" i="7" s="1"/>
  <c r="S24" i="7" a="1"/>
  <c r="S24" i="7" s="1"/>
  <c r="I24" i="7" a="1"/>
  <c r="I24" i="7" s="1"/>
  <c r="T24" i="7" a="1"/>
  <c r="T24" i="7" s="1"/>
  <c r="J24" i="7" a="1"/>
  <c r="J24" i="7" s="1"/>
  <c r="U24" i="7" a="1"/>
  <c r="U24" i="7" s="1"/>
  <c r="K24" i="7" a="1"/>
  <c r="K24" i="7" s="1"/>
  <c r="V24" i="7" a="1"/>
  <c r="V24" i="7" s="1"/>
  <c r="M24" i="7" a="1"/>
  <c r="M24" i="7" s="1"/>
  <c r="L24" i="7" a="1"/>
  <c r="L24" i="7" s="1"/>
  <c r="O24" i="7" a="1"/>
  <c r="O24" i="7" s="1"/>
  <c r="W24" i="7" a="1"/>
  <c r="W24" i="7" s="1"/>
  <c r="F170" i="7" a="1"/>
  <c r="F170" i="7" s="1"/>
  <c r="P170" i="7" a="1"/>
  <c r="P170" i="7" s="1"/>
  <c r="G170" i="7" a="1"/>
  <c r="G170" i="7" s="1"/>
  <c r="Q170" i="7" a="1"/>
  <c r="Q170" i="7" s="1"/>
  <c r="H170" i="7" a="1"/>
  <c r="H170" i="7" s="1"/>
  <c r="R170" i="7" a="1"/>
  <c r="R170" i="7" s="1"/>
  <c r="I170" i="7" a="1"/>
  <c r="I170" i="7" s="1"/>
  <c r="S170" i="7" a="1"/>
  <c r="S170" i="7" s="1"/>
  <c r="T170" i="7" a="1"/>
  <c r="T170" i="7" s="1"/>
  <c r="J170" i="7" a="1"/>
  <c r="J170" i="7" s="1"/>
  <c r="U170" i="7" a="1"/>
  <c r="U170" i="7" s="1"/>
  <c r="L170" i="7" a="1"/>
  <c r="L170" i="7" s="1"/>
  <c r="V170" i="7" a="1"/>
  <c r="V170" i="7" s="1"/>
  <c r="N170" i="7" a="1"/>
  <c r="N170" i="7" s="1"/>
  <c r="I158" i="7" a="1"/>
  <c r="I158" i="7" s="1"/>
  <c r="P158" i="7" a="1"/>
  <c r="P158" i="7" s="1"/>
  <c r="Q158" i="7" a="1"/>
  <c r="Q158" i="7" s="1"/>
  <c r="J158" i="7" a="1"/>
  <c r="J158" i="7" s="1"/>
  <c r="K158" i="7" a="1"/>
  <c r="K158" i="7" s="1"/>
  <c r="R158" i="7" a="1"/>
  <c r="R158" i="7" s="1"/>
  <c r="D158" i="7" a="1"/>
  <c r="D158" i="7" s="1"/>
  <c r="S158" i="7" a="1"/>
  <c r="S158" i="7" s="1"/>
  <c r="E158" i="7" a="1"/>
  <c r="E158" i="7" s="1"/>
  <c r="L158" i="7" a="1"/>
  <c r="L158" i="7" s="1"/>
  <c r="M158" i="7" a="1"/>
  <c r="M158" i="7" s="1"/>
  <c r="T158" i="7" a="1"/>
  <c r="T158" i="7" s="1"/>
  <c r="F158" i="7" a="1"/>
  <c r="F158" i="7" s="1"/>
  <c r="G158" i="7" a="1"/>
  <c r="G158" i="7" s="1"/>
  <c r="N158" i="7" a="1"/>
  <c r="N158" i="7" s="1"/>
  <c r="U158" i="7" a="1"/>
  <c r="U158" i="7" s="1"/>
  <c r="N146" i="7" a="1"/>
  <c r="N146" i="7" s="1"/>
  <c r="V146" i="7" a="1"/>
  <c r="V146" i="7" s="1"/>
  <c r="E146" i="7" a="1"/>
  <c r="E146" i="7" s="1"/>
  <c r="O146" i="7" a="1"/>
  <c r="O146" i="7" s="1"/>
  <c r="W146" i="7" a="1"/>
  <c r="W146" i="7" s="1"/>
  <c r="F146" i="7" a="1"/>
  <c r="F146" i="7" s="1"/>
  <c r="G146" i="7" a="1"/>
  <c r="G146" i="7" s="1"/>
  <c r="R146" i="7" a="1"/>
  <c r="R146" i="7" s="1"/>
  <c r="H146" i="7" a="1"/>
  <c r="H146" i="7" s="1"/>
  <c r="S146" i="7" a="1"/>
  <c r="S146" i="7" s="1"/>
  <c r="T146" i="7" a="1"/>
  <c r="T146" i="7" s="1"/>
  <c r="I146" i="7" a="1"/>
  <c r="I146" i="7" s="1"/>
  <c r="U146" i="7" a="1"/>
  <c r="U146" i="7" s="1"/>
  <c r="J146" i="7" a="1"/>
  <c r="J146" i="7" s="1"/>
  <c r="K146" i="7" a="1"/>
  <c r="K146" i="7" s="1"/>
  <c r="L146" i="7" a="1"/>
  <c r="L146" i="7" s="1"/>
  <c r="M146" i="7" a="1"/>
  <c r="M146" i="7" s="1"/>
  <c r="P146" i="7" a="1"/>
  <c r="P146" i="7" s="1"/>
  <c r="E134" i="7" a="1"/>
  <c r="E134" i="7" s="1"/>
  <c r="M134" i="7" a="1"/>
  <c r="M134" i="7" s="1"/>
  <c r="U134" i="7" a="1"/>
  <c r="U134" i="7" s="1"/>
  <c r="F134" i="7" a="1"/>
  <c r="F134" i="7" s="1"/>
  <c r="N134" i="7" a="1"/>
  <c r="N134" i="7" s="1"/>
  <c r="V134" i="7" a="1"/>
  <c r="V134" i="7" s="1"/>
  <c r="G134" i="7" a="1"/>
  <c r="G134" i="7" s="1"/>
  <c r="W134" i="7" a="1"/>
  <c r="W134" i="7" s="1"/>
  <c r="H134" i="7" a="1"/>
  <c r="H134" i="7" s="1"/>
  <c r="O134" i="7" a="1"/>
  <c r="O134" i="7" s="1"/>
  <c r="P134" i="7" a="1"/>
  <c r="P134" i="7" s="1"/>
  <c r="I134" i="7" a="1"/>
  <c r="I134" i="7" s="1"/>
  <c r="Q134" i="7" a="1"/>
  <c r="Q134" i="7" s="1"/>
  <c r="J134" i="7" a="1"/>
  <c r="J134" i="7" s="1"/>
  <c r="D134" i="7" a="1"/>
  <c r="D134" i="7" s="1"/>
  <c r="K134" i="7" a="1"/>
  <c r="K134" i="7" s="1"/>
  <c r="L134" i="7" a="1"/>
  <c r="L134" i="7" s="1"/>
  <c r="R134" i="7" a="1"/>
  <c r="R134" i="7" s="1"/>
  <c r="S134" i="7" a="1"/>
  <c r="S134" i="7" s="1"/>
  <c r="T134" i="7" a="1"/>
  <c r="T134" i="7" s="1"/>
  <c r="J122" i="7" a="1"/>
  <c r="J122" i="7" s="1"/>
  <c r="T122" i="7" a="1"/>
  <c r="T122" i="7" s="1"/>
  <c r="K122" i="7" a="1"/>
  <c r="K122" i="7" s="1"/>
  <c r="U122" i="7" a="1"/>
  <c r="U122" i="7" s="1"/>
  <c r="L122" i="7" a="1"/>
  <c r="L122" i="7" s="1"/>
  <c r="V122" i="7" a="1"/>
  <c r="V122" i="7" s="1"/>
  <c r="W122" i="7" a="1"/>
  <c r="W122" i="7" s="1"/>
  <c r="M122" i="7" a="1"/>
  <c r="M122" i="7" s="1"/>
  <c r="D122" i="7" a="1"/>
  <c r="D122" i="7" s="1"/>
  <c r="N122" i="7" a="1"/>
  <c r="N122" i="7" s="1"/>
  <c r="E122" i="7" a="1"/>
  <c r="E122" i="7" s="1"/>
  <c r="O122" i="7" a="1"/>
  <c r="O122" i="7" s="1"/>
  <c r="F122" i="7" a="1"/>
  <c r="F122" i="7" s="1"/>
  <c r="P122" i="7" a="1"/>
  <c r="P122" i="7" s="1"/>
  <c r="Q122" i="7" a="1"/>
  <c r="Q122" i="7" s="1"/>
  <c r="G122" i="7" a="1"/>
  <c r="G122" i="7" s="1"/>
  <c r="R122" i="7" a="1"/>
  <c r="R122" i="7" s="1"/>
  <c r="H122" i="7" a="1"/>
  <c r="H122" i="7" s="1"/>
  <c r="I122" i="7" a="1"/>
  <c r="I122" i="7" s="1"/>
  <c r="H110" i="7" a="1"/>
  <c r="H110" i="7" s="1"/>
  <c r="U110" i="7" a="1"/>
  <c r="U110" i="7" s="1"/>
  <c r="J110" i="7" a="1"/>
  <c r="J110" i="7" s="1"/>
  <c r="W110" i="7" a="1"/>
  <c r="W110" i="7" s="1"/>
  <c r="R110" i="7" a="1"/>
  <c r="R110" i="7" s="1"/>
  <c r="K110" i="7" a="1"/>
  <c r="K110" i="7" s="1"/>
  <c r="D110" i="7" a="1"/>
  <c r="D110" i="7" s="1"/>
  <c r="S110" i="7" a="1"/>
  <c r="S110" i="7" s="1"/>
  <c r="L110" i="7" a="1"/>
  <c r="L110" i="7" s="1"/>
  <c r="T110" i="7" a="1"/>
  <c r="T110" i="7" s="1"/>
  <c r="E110" i="7" a="1"/>
  <c r="E110" i="7" s="1"/>
  <c r="M110" i="7" a="1"/>
  <c r="M110" i="7" s="1"/>
  <c r="F110" i="7" a="1"/>
  <c r="F110" i="7" s="1"/>
  <c r="N110" i="7" a="1"/>
  <c r="N110" i="7" s="1"/>
  <c r="V110" i="7" a="1"/>
  <c r="V110" i="7" s="1"/>
  <c r="O110" i="7" a="1"/>
  <c r="O110" i="7" s="1"/>
  <c r="G110" i="7" a="1"/>
  <c r="G110" i="7" s="1"/>
  <c r="P110" i="7" a="1"/>
  <c r="P110" i="7" s="1"/>
  <c r="I110" i="7" a="1"/>
  <c r="I110" i="7" s="1"/>
  <c r="Q110" i="7" a="1"/>
  <c r="Q110" i="7" s="1"/>
  <c r="D98" i="7" a="1"/>
  <c r="D98" i="7" s="1"/>
  <c r="L98" i="7" a="1"/>
  <c r="L98" i="7" s="1"/>
  <c r="V98" i="7" a="1"/>
  <c r="V98" i="7" s="1"/>
  <c r="E98" i="7" a="1"/>
  <c r="E98" i="7" s="1"/>
  <c r="M98" i="7" a="1"/>
  <c r="M98" i="7" s="1"/>
  <c r="Q98" i="7" a="1"/>
  <c r="Q98" i="7" s="1"/>
  <c r="G98" i="7" a="1"/>
  <c r="G98" i="7" s="1"/>
  <c r="R98" i="7" a="1"/>
  <c r="R98" i="7" s="1"/>
  <c r="S98" i="7" a="1"/>
  <c r="S98" i="7" s="1"/>
  <c r="H98" i="7" a="1"/>
  <c r="H98" i="7" s="1"/>
  <c r="T98" i="7" a="1"/>
  <c r="T98" i="7" s="1"/>
  <c r="I98" i="7" a="1"/>
  <c r="I98" i="7" s="1"/>
  <c r="U98" i="7" a="1"/>
  <c r="U98" i="7" s="1"/>
  <c r="J98" i="7" a="1"/>
  <c r="J98" i="7" s="1"/>
  <c r="W98" i="7" a="1"/>
  <c r="W98" i="7" s="1"/>
  <c r="K98" i="7" a="1"/>
  <c r="K98" i="7" s="1"/>
  <c r="N98" i="7" a="1"/>
  <c r="N98" i="7" s="1"/>
  <c r="O98" i="7" a="1"/>
  <c r="O98" i="7" s="1"/>
  <c r="P98" i="7" a="1"/>
  <c r="P98" i="7" s="1"/>
  <c r="F98" i="7" a="1"/>
  <c r="F98" i="7" s="1"/>
  <c r="T86" i="7" a="1"/>
  <c r="T86" i="7" s="1"/>
  <c r="D86" i="7" a="1"/>
  <c r="D86" i="7" s="1"/>
  <c r="L86" i="7" a="1"/>
  <c r="L86" i="7" s="1"/>
  <c r="F86" i="7" a="1"/>
  <c r="F86" i="7" s="1"/>
  <c r="O86" i="7" a="1"/>
  <c r="O86" i="7" s="1"/>
  <c r="G86" i="7" a="1"/>
  <c r="G86" i="7" s="1"/>
  <c r="P86" i="7" a="1"/>
  <c r="P86" i="7" s="1"/>
  <c r="H86" i="7" a="1"/>
  <c r="H86" i="7" s="1"/>
  <c r="Q86" i="7" a="1"/>
  <c r="Q86" i="7" s="1"/>
  <c r="R86" i="7" a="1"/>
  <c r="R86" i="7" s="1"/>
  <c r="I86" i="7" a="1"/>
  <c r="I86" i="7" s="1"/>
  <c r="S86" i="7" a="1"/>
  <c r="S86" i="7" s="1"/>
  <c r="U86" i="7" a="1"/>
  <c r="U86" i="7" s="1"/>
  <c r="J86" i="7" a="1"/>
  <c r="J86" i="7" s="1"/>
  <c r="V86" i="7" a="1"/>
  <c r="V86" i="7" s="1"/>
  <c r="K86" i="7" a="1"/>
  <c r="K86" i="7" s="1"/>
  <c r="W86" i="7" a="1"/>
  <c r="W86" i="7" s="1"/>
  <c r="E86" i="7" a="1"/>
  <c r="E86" i="7" s="1"/>
  <c r="N86" i="7" a="1"/>
  <c r="N86" i="7" s="1"/>
  <c r="M86" i="7" a="1"/>
  <c r="M86" i="7" s="1"/>
  <c r="G74" i="7" a="1"/>
  <c r="G74" i="7" s="1"/>
  <c r="H74" i="7" a="1"/>
  <c r="H74" i="7" s="1"/>
  <c r="O74" i="7" a="1"/>
  <c r="O74" i="7" s="1"/>
  <c r="P74" i="7" a="1"/>
  <c r="P74" i="7" s="1"/>
  <c r="J74" i="7" a="1"/>
  <c r="J74" i="7" s="1"/>
  <c r="R74" i="7" a="1"/>
  <c r="R74" i="7" s="1"/>
  <c r="N74" i="7" a="1"/>
  <c r="N74" i="7" s="1"/>
  <c r="Q74" i="7" a="1"/>
  <c r="Q74" i="7" s="1"/>
  <c r="D74" i="7" a="1"/>
  <c r="D74" i="7" s="1"/>
  <c r="S74" i="7" a="1"/>
  <c r="S74" i="7" s="1"/>
  <c r="E74" i="7" a="1"/>
  <c r="E74" i="7" s="1"/>
  <c r="T74" i="7" a="1"/>
  <c r="T74" i="7" s="1"/>
  <c r="F74" i="7" a="1"/>
  <c r="F74" i="7" s="1"/>
  <c r="U74" i="7" a="1"/>
  <c r="U74" i="7" s="1"/>
  <c r="I74" i="7" a="1"/>
  <c r="I74" i="7" s="1"/>
  <c r="V74" i="7" a="1"/>
  <c r="V74" i="7" s="1"/>
  <c r="K74" i="7" a="1"/>
  <c r="K74" i="7" s="1"/>
  <c r="W74" i="7" a="1"/>
  <c r="W74" i="7" s="1"/>
  <c r="L74" i="7" a="1"/>
  <c r="L74" i="7" s="1"/>
  <c r="M74" i="7" a="1"/>
  <c r="M74" i="7" s="1"/>
  <c r="I62" i="7" a="1"/>
  <c r="I62" i="7" s="1"/>
  <c r="S62" i="7" a="1"/>
  <c r="S62" i="7" s="1"/>
  <c r="J62" i="7" a="1"/>
  <c r="J62" i="7" s="1"/>
  <c r="T62" i="7" a="1"/>
  <c r="T62" i="7" s="1"/>
  <c r="V62" i="7" a="1"/>
  <c r="V62" i="7" s="1"/>
  <c r="L62" i="7" a="1"/>
  <c r="L62" i="7" s="1"/>
  <c r="W62" i="7" a="1"/>
  <c r="W62" i="7" s="1"/>
  <c r="M62" i="7" a="1"/>
  <c r="M62" i="7" s="1"/>
  <c r="D62" i="7" a="1"/>
  <c r="D62" i="7" s="1"/>
  <c r="N62" i="7" a="1"/>
  <c r="N62" i="7" s="1"/>
  <c r="O62" i="7" a="1"/>
  <c r="O62" i="7" s="1"/>
  <c r="P62" i="7" a="1"/>
  <c r="P62" i="7" s="1"/>
  <c r="Q62" i="7" a="1"/>
  <c r="Q62" i="7" s="1"/>
  <c r="R62" i="7" a="1"/>
  <c r="R62" i="7" s="1"/>
  <c r="H62" i="7" a="1"/>
  <c r="H62" i="7" s="1"/>
  <c r="K62" i="7" a="1"/>
  <c r="K62" i="7" s="1"/>
  <c r="U62" i="7" a="1"/>
  <c r="U62" i="7" s="1"/>
  <c r="E62" i="7" a="1"/>
  <c r="E62" i="7" s="1"/>
  <c r="G62" i="7" a="1"/>
  <c r="G62" i="7" s="1"/>
  <c r="F62" i="7" a="1"/>
  <c r="F62" i="7" s="1"/>
  <c r="N50" i="7" a="1"/>
  <c r="N50" i="7" s="1"/>
  <c r="D50" i="7" a="1"/>
  <c r="D50" i="7" s="1"/>
  <c r="O50" i="7" a="1"/>
  <c r="O50" i="7" s="1"/>
  <c r="Q50" i="7" a="1"/>
  <c r="Q50" i="7" s="1"/>
  <c r="F50" i="7" a="1"/>
  <c r="F50" i="7" s="1"/>
  <c r="R50" i="7" a="1"/>
  <c r="R50" i="7" s="1"/>
  <c r="G50" i="7" a="1"/>
  <c r="G50" i="7" s="1"/>
  <c r="S50" i="7" a="1"/>
  <c r="S50" i="7" s="1"/>
  <c r="H50" i="7" a="1"/>
  <c r="H50" i="7" s="1"/>
  <c r="T50" i="7" a="1"/>
  <c r="T50" i="7" s="1"/>
  <c r="I50" i="7" a="1"/>
  <c r="I50" i="7" s="1"/>
  <c r="U50" i="7" a="1"/>
  <c r="U50" i="7" s="1"/>
  <c r="J50" i="7" a="1"/>
  <c r="J50" i="7" s="1"/>
  <c r="V50" i="7" a="1"/>
  <c r="V50" i="7" s="1"/>
  <c r="K50" i="7" a="1"/>
  <c r="K50" i="7" s="1"/>
  <c r="W50" i="7" a="1"/>
  <c r="W50" i="7" s="1"/>
  <c r="M50" i="7" a="1"/>
  <c r="M50" i="7" s="1"/>
  <c r="P50" i="7" a="1"/>
  <c r="P50" i="7" s="1"/>
  <c r="L50" i="7" a="1"/>
  <c r="L50" i="7" s="1"/>
  <c r="E50" i="7" a="1"/>
  <c r="E50" i="7" s="1"/>
  <c r="G38" i="7" a="1"/>
  <c r="G38" i="7" s="1"/>
  <c r="H38" i="7" a="1"/>
  <c r="H38" i="7" s="1"/>
  <c r="R38" i="7" a="1"/>
  <c r="R38" i="7" s="1"/>
  <c r="J38" i="7" a="1"/>
  <c r="J38" i="7" s="1"/>
  <c r="T38" i="7" a="1"/>
  <c r="T38" i="7" s="1"/>
  <c r="K38" i="7" a="1"/>
  <c r="K38" i="7" s="1"/>
  <c r="U38" i="7" a="1"/>
  <c r="U38" i="7" s="1"/>
  <c r="L38" i="7" a="1"/>
  <c r="L38" i="7" s="1"/>
  <c r="V38" i="7" a="1"/>
  <c r="V38" i="7" s="1"/>
  <c r="M38" i="7" a="1"/>
  <c r="M38" i="7" s="1"/>
  <c r="W38" i="7" a="1"/>
  <c r="W38" i="7" s="1"/>
  <c r="D38" i="7" a="1"/>
  <c r="D38" i="7" s="1"/>
  <c r="N38" i="7" a="1"/>
  <c r="N38" i="7" s="1"/>
  <c r="E38" i="7" a="1"/>
  <c r="E38" i="7" s="1"/>
  <c r="O38" i="7" a="1"/>
  <c r="O38" i="7" s="1"/>
  <c r="F38" i="7" a="1"/>
  <c r="F38" i="7" s="1"/>
  <c r="I38" i="7" a="1"/>
  <c r="I38" i="7" s="1"/>
  <c r="P38" i="7" a="1"/>
  <c r="P38" i="7" s="1"/>
  <c r="Q38" i="7" a="1"/>
  <c r="Q38" i="7" s="1"/>
  <c r="S38" i="7" a="1"/>
  <c r="S38" i="7" s="1"/>
  <c r="F26" i="7" a="1"/>
  <c r="F26" i="7" s="1"/>
  <c r="Q26" i="7" a="1"/>
  <c r="Q26" i="7" s="1"/>
  <c r="G26" i="7" a="1"/>
  <c r="G26" i="7" s="1"/>
  <c r="R26" i="7" a="1"/>
  <c r="R26" i="7" s="1"/>
  <c r="I26" i="7" a="1"/>
  <c r="I26" i="7" s="1"/>
  <c r="T26" i="7" a="1"/>
  <c r="T26" i="7" s="1"/>
  <c r="J26" i="7" a="1"/>
  <c r="J26" i="7" s="1"/>
  <c r="U26" i="7" a="1"/>
  <c r="U26" i="7" s="1"/>
  <c r="K26" i="7" a="1"/>
  <c r="K26" i="7" s="1"/>
  <c r="V26" i="7" a="1"/>
  <c r="V26" i="7" s="1"/>
  <c r="L26" i="7" a="1"/>
  <c r="L26" i="7" s="1"/>
  <c r="W26" i="7" a="1"/>
  <c r="W26" i="7" s="1"/>
  <c r="M26" i="7" a="1"/>
  <c r="M26" i="7" s="1"/>
  <c r="N26" i="7" a="1"/>
  <c r="N26" i="7" s="1"/>
  <c r="E26" i="7" a="1"/>
  <c r="E26" i="7" s="1"/>
  <c r="D26" i="7" a="1"/>
  <c r="D26" i="7" s="1"/>
  <c r="H26" i="7" a="1"/>
  <c r="H26" i="7" s="1"/>
  <c r="O26" i="7" a="1"/>
  <c r="O26" i="7" s="1"/>
  <c r="P26" i="7" a="1"/>
  <c r="P26" i="7" s="1"/>
  <c r="S26" i="7" a="1"/>
  <c r="S26" i="7" s="1"/>
  <c r="E23" i="7" a="1"/>
  <c r="E23" i="7" s="1"/>
  <c r="W169" i="7" a="1"/>
  <c r="W169" i="7" s="1"/>
  <c r="L168" i="7" a="1"/>
  <c r="L168" i="7" s="1"/>
  <c r="Q161" i="7" a="1"/>
  <c r="Q161" i="7" s="1"/>
  <c r="F157" i="7" a="1"/>
  <c r="F157" i="7" s="1"/>
  <c r="Q154" i="7" a="1"/>
  <c r="Q154" i="7" s="1"/>
  <c r="D152" i="7" a="1"/>
  <c r="D152" i="7" s="1"/>
  <c r="L145" i="7" a="1"/>
  <c r="L145" i="7" s="1"/>
  <c r="R141" i="7" a="1"/>
  <c r="R141" i="7" s="1"/>
  <c r="G137" i="7" a="1"/>
  <c r="G137" i="7" s="1"/>
  <c r="S129" i="7" a="1"/>
  <c r="S129" i="7" s="1"/>
  <c r="M96" i="7" a="1"/>
  <c r="M96" i="7" s="1"/>
  <c r="E35" i="7" a="1"/>
  <c r="E35" i="7" s="1"/>
  <c r="L35" i="7" a="1"/>
  <c r="L35" i="7" s="1"/>
  <c r="M35" i="7" a="1"/>
  <c r="M35" i="7" s="1"/>
  <c r="U35" i="7" a="1"/>
  <c r="U35" i="7" s="1"/>
  <c r="G35" i="7" a="1"/>
  <c r="G35" i="7" s="1"/>
  <c r="O35" i="7" a="1"/>
  <c r="O35" i="7" s="1"/>
  <c r="H35" i="7" a="1"/>
  <c r="H35" i="7" s="1"/>
  <c r="W35" i="7" a="1"/>
  <c r="W35" i="7" s="1"/>
  <c r="P35" i="7" a="1"/>
  <c r="P35" i="7" s="1"/>
  <c r="I35" i="7" a="1"/>
  <c r="I35" i="7" s="1"/>
  <c r="Q35" i="7" a="1"/>
  <c r="Q35" i="7" s="1"/>
  <c r="J35" i="7" a="1"/>
  <c r="J35" i="7" s="1"/>
  <c r="R35" i="7" a="1"/>
  <c r="R35" i="7" s="1"/>
  <c r="T35" i="7" a="1"/>
  <c r="T35" i="7" s="1"/>
  <c r="V35" i="7" a="1"/>
  <c r="V35" i="7" s="1"/>
  <c r="D35" i="7" a="1"/>
  <c r="D35" i="7" s="1"/>
  <c r="F35" i="7" a="1"/>
  <c r="F35" i="7" s="1"/>
  <c r="K35" i="7" a="1"/>
  <c r="K35" i="7" s="1"/>
  <c r="N35" i="7" a="1"/>
  <c r="N35" i="7" s="1"/>
  <c r="S35" i="7" a="1"/>
  <c r="S35" i="7" s="1"/>
  <c r="F33" i="7" a="1"/>
  <c r="F33" i="7" s="1"/>
  <c r="P33" i="7" a="1"/>
  <c r="P33" i="7" s="1"/>
  <c r="G33" i="7" a="1"/>
  <c r="G33" i="7" s="1"/>
  <c r="Q33" i="7" a="1"/>
  <c r="Q33" i="7" s="1"/>
  <c r="S33" i="7" a="1"/>
  <c r="S33" i="7" s="1"/>
  <c r="I33" i="7" a="1"/>
  <c r="I33" i="7" s="1"/>
  <c r="T33" i="7" a="1"/>
  <c r="T33" i="7" s="1"/>
  <c r="J33" i="7" a="1"/>
  <c r="J33" i="7" s="1"/>
  <c r="K33" i="7" a="1"/>
  <c r="K33" i="7" s="1"/>
  <c r="U33" i="7" a="1"/>
  <c r="U33" i="7" s="1"/>
  <c r="L33" i="7" a="1"/>
  <c r="L33" i="7" s="1"/>
  <c r="M33" i="7" a="1"/>
  <c r="M33" i="7" s="1"/>
  <c r="V33" i="7" a="1"/>
  <c r="V33" i="7" s="1"/>
  <c r="D33" i="7" a="1"/>
  <c r="D33" i="7" s="1"/>
  <c r="E33" i="7" a="1"/>
  <c r="E33" i="7" s="1"/>
  <c r="H33" i="7" a="1"/>
  <c r="H33" i="7" s="1"/>
  <c r="N33" i="7" a="1"/>
  <c r="N33" i="7" s="1"/>
  <c r="O33" i="7" a="1"/>
  <c r="O33" i="7" s="1"/>
  <c r="R33" i="7" a="1"/>
  <c r="R33" i="7" s="1"/>
  <c r="W33" i="7" a="1"/>
  <c r="W33" i="7" s="1"/>
  <c r="N32" i="7" a="1"/>
  <c r="N32" i="7" s="1"/>
  <c r="O32" i="7" a="1"/>
  <c r="O32" i="7" s="1"/>
  <c r="E32" i="7" a="1"/>
  <c r="E32" i="7" s="1"/>
  <c r="Q32" i="7" a="1"/>
  <c r="Q32" i="7" s="1"/>
  <c r="F32" i="7" a="1"/>
  <c r="F32" i="7" s="1"/>
  <c r="R32" i="7" a="1"/>
  <c r="R32" i="7" s="1"/>
  <c r="G32" i="7" a="1"/>
  <c r="G32" i="7" s="1"/>
  <c r="S32" i="7" a="1"/>
  <c r="S32" i="7" s="1"/>
  <c r="H32" i="7" a="1"/>
  <c r="H32" i="7" s="1"/>
  <c r="T32" i="7" a="1"/>
  <c r="T32" i="7" s="1"/>
  <c r="I32" i="7" a="1"/>
  <c r="I32" i="7" s="1"/>
  <c r="U32" i="7" a="1"/>
  <c r="U32" i="7" s="1"/>
  <c r="J32" i="7" a="1"/>
  <c r="J32" i="7" s="1"/>
  <c r="V32" i="7" a="1"/>
  <c r="V32" i="7" s="1"/>
  <c r="K32" i="7" a="1"/>
  <c r="K32" i="7" s="1"/>
  <c r="W32" i="7" a="1"/>
  <c r="W32" i="7" s="1"/>
  <c r="D32" i="7" a="1"/>
  <c r="D32" i="7" s="1"/>
  <c r="L32" i="7" a="1"/>
  <c r="L32" i="7" s="1"/>
  <c r="M32" i="7" a="1"/>
  <c r="M32" i="7" s="1"/>
  <c r="P32" i="7" a="1"/>
  <c r="P32" i="7" s="1"/>
  <c r="J31" i="7" a="1"/>
  <c r="J31" i="7" s="1"/>
  <c r="V31" i="7" a="1"/>
  <c r="V31" i="7" s="1"/>
  <c r="K31" i="7" a="1"/>
  <c r="K31" i="7" s="1"/>
  <c r="W31" i="7" a="1"/>
  <c r="W31" i="7" s="1"/>
  <c r="M31" i="7" a="1"/>
  <c r="M31" i="7" s="1"/>
  <c r="N31" i="7" a="1"/>
  <c r="N31" i="7" s="1"/>
  <c r="O31" i="7" a="1"/>
  <c r="O31" i="7" s="1"/>
  <c r="D31" i="7" a="1"/>
  <c r="D31" i="7" s="1"/>
  <c r="P31" i="7" a="1"/>
  <c r="P31" i="7" s="1"/>
  <c r="E31" i="7" a="1"/>
  <c r="E31" i="7" s="1"/>
  <c r="Q31" i="7" a="1"/>
  <c r="Q31" i="7" s="1"/>
  <c r="F31" i="7" a="1"/>
  <c r="F31" i="7" s="1"/>
  <c r="R31" i="7" a="1"/>
  <c r="R31" i="7" s="1"/>
  <c r="G31" i="7" a="1"/>
  <c r="G31" i="7" s="1"/>
  <c r="S31" i="7" a="1"/>
  <c r="S31" i="7" s="1"/>
  <c r="U31" i="7" a="1"/>
  <c r="U31" i="7" s="1"/>
  <c r="H31" i="7" a="1"/>
  <c r="H31" i="7" s="1"/>
  <c r="I31" i="7" a="1"/>
  <c r="I31" i="7" s="1"/>
  <c r="L31" i="7" a="1"/>
  <c r="L31" i="7" s="1"/>
  <c r="T31" i="7" a="1"/>
  <c r="T31" i="7" s="1"/>
  <c r="F30" i="7" a="1"/>
  <c r="F30" i="7" s="1"/>
  <c r="R30" i="7" a="1"/>
  <c r="R30" i="7" s="1"/>
  <c r="G30" i="7" a="1"/>
  <c r="G30" i="7" s="1"/>
  <c r="S30" i="7" a="1"/>
  <c r="S30" i="7" s="1"/>
  <c r="I30" i="7" a="1"/>
  <c r="I30" i="7" s="1"/>
  <c r="U30" i="7" a="1"/>
  <c r="U30" i="7" s="1"/>
  <c r="J30" i="7" a="1"/>
  <c r="J30" i="7" s="1"/>
  <c r="V30" i="7" a="1"/>
  <c r="V30" i="7" s="1"/>
  <c r="K30" i="7" a="1"/>
  <c r="K30" i="7" s="1"/>
  <c r="W30" i="7" a="1"/>
  <c r="W30" i="7" s="1"/>
  <c r="L30" i="7" a="1"/>
  <c r="L30" i="7" s="1"/>
  <c r="M30" i="7" a="1"/>
  <c r="M30" i="7" s="1"/>
  <c r="N30" i="7" a="1"/>
  <c r="N30" i="7" s="1"/>
  <c r="O30" i="7" a="1"/>
  <c r="O30" i="7" s="1"/>
  <c r="D30" i="7" a="1"/>
  <c r="D30" i="7" s="1"/>
  <c r="E30" i="7" a="1"/>
  <c r="E30" i="7" s="1"/>
  <c r="H30" i="7" a="1"/>
  <c r="H30" i="7" s="1"/>
  <c r="P30" i="7" a="1"/>
  <c r="P30" i="7" s="1"/>
  <c r="Q30" i="7" a="1"/>
  <c r="Q30" i="7" s="1"/>
  <c r="T30" i="7" a="1"/>
  <c r="T30" i="7" s="1"/>
  <c r="N29" i="7" a="1"/>
  <c r="N29" i="7" s="1"/>
  <c r="O29" i="7" a="1"/>
  <c r="O29" i="7" s="1"/>
  <c r="E29" i="7" a="1"/>
  <c r="E29" i="7" s="1"/>
  <c r="Q29" i="7" a="1"/>
  <c r="Q29" i="7" s="1"/>
  <c r="F29" i="7" a="1"/>
  <c r="F29" i="7" s="1"/>
  <c r="R29" i="7" a="1"/>
  <c r="R29" i="7" s="1"/>
  <c r="G29" i="7" a="1"/>
  <c r="G29" i="7" s="1"/>
  <c r="S29" i="7" a="1"/>
  <c r="S29" i="7" s="1"/>
  <c r="H29" i="7" a="1"/>
  <c r="H29" i="7" s="1"/>
  <c r="T29" i="7" a="1"/>
  <c r="T29" i="7" s="1"/>
  <c r="I29" i="7" a="1"/>
  <c r="I29" i="7" s="1"/>
  <c r="U29" i="7" a="1"/>
  <c r="U29" i="7" s="1"/>
  <c r="J29" i="7" a="1"/>
  <c r="J29" i="7" s="1"/>
  <c r="V29" i="7" a="1"/>
  <c r="V29" i="7" s="1"/>
  <c r="K29" i="7" a="1"/>
  <c r="K29" i="7" s="1"/>
  <c r="W29" i="7" a="1"/>
  <c r="W29" i="7" s="1"/>
  <c r="M29" i="7" a="1"/>
  <c r="M29" i="7" s="1"/>
  <c r="P29" i="7" a="1"/>
  <c r="P29" i="7" s="1"/>
  <c r="D29" i="7" a="1"/>
  <c r="D29" i="7" s="1"/>
  <c r="L29" i="7" a="1"/>
  <c r="L29" i="7" s="1"/>
  <c r="J28" i="7" a="1"/>
  <c r="J28" i="7" s="1"/>
  <c r="V28" i="7" a="1"/>
  <c r="V28" i="7" s="1"/>
  <c r="K28" i="7" a="1"/>
  <c r="K28" i="7" s="1"/>
  <c r="W28" i="7" a="1"/>
  <c r="W28" i="7" s="1"/>
  <c r="M28" i="7" a="1"/>
  <c r="M28" i="7" s="1"/>
  <c r="N28" i="7" a="1"/>
  <c r="N28" i="7" s="1"/>
  <c r="D28" i="7" a="1"/>
  <c r="D28" i="7" s="1"/>
  <c r="O28" i="7" a="1"/>
  <c r="O28" i="7" s="1"/>
  <c r="E28" i="7" a="1"/>
  <c r="E28" i="7" s="1"/>
  <c r="P28" i="7" a="1"/>
  <c r="P28" i="7" s="1"/>
  <c r="F28" i="7" a="1"/>
  <c r="F28" i="7" s="1"/>
  <c r="Q28" i="7" a="1"/>
  <c r="Q28" i="7" s="1"/>
  <c r="R28" i="7" a="1"/>
  <c r="R28" i="7" s="1"/>
  <c r="G28" i="7" a="1"/>
  <c r="G28" i="7" s="1"/>
  <c r="S28" i="7" a="1"/>
  <c r="S28" i="7" s="1"/>
  <c r="H28" i="7" a="1"/>
  <c r="H28" i="7" s="1"/>
  <c r="I28" i="7" a="1"/>
  <c r="I28" i="7" s="1"/>
  <c r="L28" i="7" a="1"/>
  <c r="L28" i="7" s="1"/>
  <c r="T28" i="7" a="1"/>
  <c r="T28" i="7" s="1"/>
  <c r="U28" i="7" a="1"/>
  <c r="U28" i="7" s="1"/>
  <c r="K13" i="5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B5" i="5" a="1"/>
  <c r="B25" i="5" a="1"/>
  <c r="B3" i="5" a="1"/>
  <c r="K10" i="5" a="1"/>
  <c r="S4" i="5" a="1"/>
  <c r="O4" i="5" a="1"/>
  <c r="S5" i="5" a="1"/>
  <c r="K39" i="5" a="1"/>
  <c r="K19" i="5" a="1"/>
  <c r="K36" i="5" a="1"/>
  <c r="K29" i="5" a="1"/>
  <c r="K35" i="5" a="1"/>
  <c r="K26" i="5" a="1"/>
  <c r="K22" i="5" a="1"/>
  <c r="K18" i="5" a="1"/>
  <c r="B5" i="5" l="1"/>
  <c r="B25" i="5"/>
  <c r="B3" i="5"/>
  <c r="K39" i="5"/>
  <c r="K36" i="5"/>
  <c r="K35" i="5"/>
  <c r="K29" i="5"/>
  <c r="K26" i="5"/>
  <c r="K22" i="5"/>
  <c r="K18" i="5"/>
  <c r="K19" i="5"/>
  <c r="O4" i="5"/>
  <c r="K10" i="5"/>
  <c r="S5" i="5"/>
  <c r="O2" i="5" s="1"/>
  <c r="S4" i="5"/>
  <c r="O3" i="5"/>
  <c r="AY48" i="2"/>
  <c r="AY50" i="2" s="1"/>
  <c r="AY46" i="2"/>
  <c r="AY45" i="2"/>
  <c r="AY30" i="2"/>
  <c r="AY32" i="2" s="1"/>
  <c r="AY29" i="2"/>
  <c r="AY31" i="2" s="1"/>
  <c r="AY28" i="2"/>
  <c r="AY27" i="2"/>
  <c r="AW53" i="2"/>
  <c r="AW54" i="2"/>
  <c r="AW55" i="2"/>
  <c r="AW56" i="2"/>
  <c r="AW57" i="2"/>
  <c r="AW58" i="2"/>
  <c r="AW59" i="2"/>
  <c r="AW52" i="2"/>
  <c r="AW50" i="2"/>
  <c r="AW49" i="2"/>
  <c r="AW48" i="2"/>
  <c r="AW44" i="2"/>
  <c r="AW45" i="2"/>
  <c r="AW46" i="2"/>
  <c r="AW47" i="2"/>
  <c r="AW43" i="2"/>
  <c r="AW41" i="2"/>
  <c r="AW35" i="2"/>
  <c r="AW36" i="2"/>
  <c r="AW37" i="2"/>
  <c r="AW38" i="2"/>
  <c r="AW39" i="2"/>
  <c r="AW40" i="2"/>
  <c r="AW34" i="2"/>
  <c r="AW26" i="2"/>
  <c r="AW27" i="2"/>
  <c r="AW28" i="2"/>
  <c r="AW29" i="2"/>
  <c r="AW30" i="2"/>
  <c r="AW31" i="2"/>
  <c r="AW32" i="2"/>
  <c r="AW25" i="2"/>
  <c r="AJ53" i="2"/>
  <c r="AJ54" i="2"/>
  <c r="AJ55" i="2"/>
  <c r="AJ56" i="2"/>
  <c r="AJ57" i="2"/>
  <c r="AJ58" i="2"/>
  <c r="AJ59" i="2"/>
  <c r="AJ52" i="2"/>
  <c r="AK47" i="2"/>
  <c r="AK49" i="2" s="1"/>
  <c r="AK46" i="2"/>
  <c r="AK48" i="2" s="1"/>
  <c r="AK45" i="2"/>
  <c r="AK44" i="2"/>
  <c r="AK30" i="2"/>
  <c r="AK29" i="2"/>
  <c r="AK31" i="2" s="1"/>
  <c r="AK28" i="2"/>
  <c r="AK27" i="2"/>
  <c r="AJ44" i="2"/>
  <c r="AJ45" i="2"/>
  <c r="AJ46" i="2"/>
  <c r="AJ47" i="2"/>
  <c r="AJ48" i="2"/>
  <c r="AJ49" i="2"/>
  <c r="AJ50" i="2"/>
  <c r="AJ43" i="2"/>
  <c r="AJ41" i="2"/>
  <c r="AJ35" i="2"/>
  <c r="AJ36" i="2"/>
  <c r="AJ37" i="2"/>
  <c r="AJ38" i="2"/>
  <c r="AJ39" i="2"/>
  <c r="AJ40" i="2"/>
  <c r="AJ34" i="2"/>
  <c r="AG26" i="2"/>
  <c r="AQ45" i="2"/>
  <c r="AQ47" i="2" s="1"/>
  <c r="AQ44" i="2"/>
  <c r="AQ46" i="2" s="1"/>
  <c r="AQ28" i="2"/>
  <c r="AQ30" i="2" s="1"/>
  <c r="AQ32" i="2" s="1"/>
  <c r="AQ34" i="2" s="1"/>
  <c r="AQ36" i="2" s="1"/>
  <c r="AQ38" i="2" s="1"/>
  <c r="AQ40" i="2" s="1"/>
  <c r="AQ27" i="2"/>
  <c r="AQ29" i="2" s="1"/>
  <c r="AQ31" i="2" s="1"/>
  <c r="AQ33" i="2" s="1"/>
  <c r="AQ35" i="2" s="1"/>
  <c r="AQ37" i="2" s="1"/>
  <c r="AQ39" i="2" s="1"/>
  <c r="AN59" i="2"/>
  <c r="AN53" i="2"/>
  <c r="AN54" i="2"/>
  <c r="AN55" i="2"/>
  <c r="AN56" i="2"/>
  <c r="AN57" i="2"/>
  <c r="AN58" i="2"/>
  <c r="AN52" i="2"/>
  <c r="AN44" i="2"/>
  <c r="AN45" i="2"/>
  <c r="AN46" i="2"/>
  <c r="AN47" i="2"/>
  <c r="AN48" i="2"/>
  <c r="AN49" i="2"/>
  <c r="AN50" i="2"/>
  <c r="AN43" i="2"/>
  <c r="AN13" i="2"/>
  <c r="AN11" i="2"/>
  <c r="AN10" i="2"/>
  <c r="AN12" i="2"/>
  <c r="AQ3" i="2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N3" i="2"/>
  <c r="AN4" i="2"/>
  <c r="AN5" i="2"/>
  <c r="AN6" i="2"/>
  <c r="AN7" i="2"/>
  <c r="AN30" i="2" s="1"/>
  <c r="AN39" i="2" s="1"/>
  <c r="AN8" i="2"/>
  <c r="AN9" i="2"/>
  <c r="AN32" i="2" s="1"/>
  <c r="AN41" i="2" s="1"/>
  <c r="AN14" i="2"/>
  <c r="AN15" i="2"/>
  <c r="AN16" i="2"/>
  <c r="AN17" i="2"/>
  <c r="AN18" i="2"/>
  <c r="AN19" i="2"/>
  <c r="AN20" i="2"/>
  <c r="AN21" i="2"/>
  <c r="AQ2" i="2"/>
  <c r="AQ18" i="2" s="1"/>
  <c r="AN2" i="2"/>
  <c r="AK3" i="2"/>
  <c r="AJ26" i="2" s="1"/>
  <c r="AK4" i="2"/>
  <c r="AJ27" i="2" s="1"/>
  <c r="AK5" i="2"/>
  <c r="AJ28" i="2" s="1"/>
  <c r="AK6" i="2"/>
  <c r="AK7" i="2"/>
  <c r="AK8" i="2"/>
  <c r="AK9" i="2"/>
  <c r="AK10" i="2"/>
  <c r="AK11" i="2"/>
  <c r="AK12" i="2"/>
  <c r="AK13" i="2"/>
  <c r="AK14" i="2"/>
  <c r="AK15" i="2"/>
  <c r="AK16" i="2"/>
  <c r="AK17" i="2"/>
  <c r="AK2" i="2"/>
  <c r="B22" i="5" a="1"/>
  <c r="B21" i="5" a="1"/>
  <c r="B32" i="5" a="1"/>
  <c r="B31" i="5" a="1"/>
  <c r="B6" i="5" a="1"/>
  <c r="B26" i="5" a="1"/>
  <c r="B30" i="5" a="1"/>
  <c r="BA5" i="1" a="1"/>
  <c r="I3" i="4" a="1"/>
  <c r="BM9" i="1" a="1"/>
  <c r="BI20" i="1" a="1"/>
  <c r="S14" i="1" a="1"/>
  <c r="BI17" i="1" a="1"/>
  <c r="BE9" i="1" a="1"/>
  <c r="BE6" i="1" a="1"/>
  <c r="J6" i="4" a="1"/>
  <c r="BA11" i="1" a="1"/>
  <c r="H3" i="4" a="1"/>
  <c r="S16" i="1" a="1"/>
  <c r="BI8" i="1" a="1"/>
  <c r="BA6" i="1" a="1"/>
  <c r="H5" i="4" a="1"/>
  <c r="I10" i="4" a="1"/>
  <c r="BI4" i="1" a="1"/>
  <c r="H11" i="4" a="1"/>
  <c r="G7" i="4" a="1"/>
  <c r="BI11" i="1" a="1"/>
  <c r="D2" i="3" a="1"/>
  <c r="G13" i="4" a="1"/>
  <c r="Y10" i="1" a="1"/>
  <c r="BI6" i="1" a="1"/>
  <c r="I9" i="4" a="1"/>
  <c r="BI16" i="1" a="1"/>
  <c r="S15" i="1" a="1"/>
  <c r="J8" i="4" a="1"/>
  <c r="BE11" i="1" a="1"/>
  <c r="J4" i="4" a="1"/>
  <c r="H2" i="4" a="1"/>
  <c r="BM11" i="1" a="1"/>
  <c r="BA13" i="1" a="1"/>
  <c r="BM14" i="1" a="1"/>
  <c r="BI18" i="1" a="1"/>
  <c r="BE8" i="1" a="1"/>
  <c r="BI22" i="1" a="1"/>
  <c r="BI14" i="1" a="1"/>
  <c r="Y9" i="1" a="1"/>
  <c r="S8" i="1" a="1"/>
  <c r="AW11" i="1" a="1"/>
  <c r="S12" i="1" a="1"/>
  <c r="BE18" i="1" a="1"/>
  <c r="G3" i="4" a="1"/>
  <c r="I4" i="4" a="1"/>
  <c r="Y11" i="1" a="1"/>
  <c r="BA4" i="1" a="1"/>
  <c r="J2" i="4" a="1"/>
  <c r="BA16" i="1" a="1"/>
  <c r="BM10" i="1" a="1"/>
  <c r="S10" i="1" a="1"/>
  <c r="K11" i="5" a="1"/>
  <c r="H6" i="4" a="1"/>
  <c r="Y6" i="1" a="1"/>
  <c r="J13" i="4" a="1"/>
  <c r="G5" i="4" a="1"/>
  <c r="BE4" i="1" a="1"/>
  <c r="BA10" i="1" a="1"/>
  <c r="I2" i="4" a="1"/>
  <c r="G4" i="4" a="1"/>
  <c r="O5" i="5" a="1"/>
  <c r="G12" i="4" a="1"/>
  <c r="BM19" i="1" a="1"/>
  <c r="BM15" i="1" a="1"/>
  <c r="J5" i="4" a="1"/>
  <c r="G2" i="4" a="1"/>
  <c r="I8" i="4" a="1"/>
  <c r="AW6" i="1" a="1"/>
  <c r="BI12" i="1" a="1"/>
  <c r="BM8" i="1" a="1"/>
  <c r="G10" i="4" a="1"/>
  <c r="O6" i="5" a="1"/>
  <c r="BE10" i="1" a="1"/>
  <c r="H4" i="4" a="1"/>
  <c r="BM17" i="1" a="1"/>
  <c r="BI13" i="1" a="1"/>
  <c r="BE13" i="1" a="1"/>
  <c r="BI9" i="1" a="1"/>
  <c r="H12" i="4" a="1"/>
  <c r="I12" i="4" a="1"/>
  <c r="BA14" i="1" a="1"/>
  <c r="BM18" i="1" a="1"/>
  <c r="S19" i="1" a="1"/>
  <c r="BE14" i="1" a="1"/>
  <c r="BE7" i="1" a="1"/>
  <c r="BA8" i="1" a="1"/>
  <c r="BA15" i="1" a="1"/>
  <c r="AW5" i="1" a="1"/>
  <c r="S11" i="1" a="1"/>
  <c r="BA9" i="1" a="1"/>
  <c r="BM16" i="1" a="1"/>
  <c r="G9" i="4" a="1"/>
  <c r="J10" i="4" a="1"/>
  <c r="S7" i="1" a="1"/>
  <c r="BM5" i="1" a="1"/>
  <c r="G11" i="4" a="1"/>
  <c r="J11" i="4" a="1"/>
  <c r="S6" i="1" a="1"/>
  <c r="BI5" i="1" a="1"/>
  <c r="BM7" i="1" a="1"/>
  <c r="BE3" i="1" a="1"/>
  <c r="AW9" i="1" a="1"/>
  <c r="I6" i="4" a="1"/>
  <c r="AE2" i="1" a="1"/>
  <c r="B8" i="3" a="1"/>
  <c r="G8" i="4" a="1"/>
  <c r="I11" i="4" a="1"/>
  <c r="I13" i="4" a="1"/>
  <c r="D5" i="3" a="1"/>
  <c r="BI15" i="1" a="1"/>
  <c r="S18" i="1" a="1"/>
  <c r="BI3" i="1" a="1"/>
  <c r="BA12" i="1" a="1"/>
  <c r="S9" i="1" a="1"/>
  <c r="I5" i="4" a="1"/>
  <c r="Y7" i="1" a="1"/>
  <c r="BI21" i="1" a="1"/>
  <c r="G6" i="4" a="1"/>
  <c r="H8" i="4" a="1"/>
  <c r="BE12" i="1" a="1"/>
  <c r="S5" i="1" a="1"/>
  <c r="H9" i="4" a="1"/>
  <c r="BI10" i="1" a="1"/>
  <c r="BM12" i="1" a="1"/>
  <c r="BE15" i="1" a="1"/>
  <c r="J7" i="4" a="1"/>
  <c r="BI7" i="1" a="1"/>
  <c r="BE17" i="1" a="1"/>
  <c r="S13" i="1" a="1"/>
  <c r="BM6" i="1" a="1"/>
  <c r="AW8" i="1" a="1"/>
  <c r="AW10" i="1" a="1"/>
  <c r="T24" i="1" a="1"/>
  <c r="AO5" i="1" a="1"/>
  <c r="AW4" i="1" a="1"/>
  <c r="AW7" i="1" a="1"/>
  <c r="D7" i="3" a="1"/>
  <c r="BA17" i="1" a="1"/>
  <c r="BA18" i="1" a="1"/>
  <c r="J9" i="4" a="1"/>
  <c r="BE5" i="1" a="1"/>
  <c r="H13" i="4" a="1"/>
  <c r="H7" i="4" a="1"/>
  <c r="S17" i="1" a="1"/>
  <c r="BM4" i="1" a="1"/>
  <c r="BA7" i="1" a="1"/>
  <c r="BI19" i="1" a="1"/>
  <c r="BM13" i="1" a="1"/>
  <c r="J3" i="4" a="1"/>
  <c r="Y8" i="1" a="1"/>
  <c r="J12" i="4" a="1"/>
  <c r="BE16" i="1" a="1"/>
  <c r="I7" i="4" a="1"/>
  <c r="H10" i="4" a="1"/>
  <c r="BM3" i="1" a="1"/>
  <c r="T25" i="1" a="1"/>
  <c r="K27" i="5" a="1"/>
  <c r="K37" i="5" a="1"/>
  <c r="K20" i="5" a="1"/>
  <c r="AL31" i="2" a="1"/>
  <c r="AZ53" i="2" a="1"/>
  <c r="AZ40" i="2" a="1"/>
  <c r="AL35" i="2" a="1"/>
  <c r="AR45" i="2" a="1"/>
  <c r="AL45" i="2" a="1"/>
  <c r="AZ33" i="2" a="1"/>
  <c r="AL56" i="2" a="1"/>
  <c r="AR47" i="2" a="1"/>
  <c r="AL43" i="2" a="1"/>
  <c r="AL53" i="2" a="1"/>
  <c r="AR36" i="2" a="1"/>
  <c r="AZ37" i="2" a="1"/>
  <c r="AR32" i="2" a="1"/>
  <c r="AL48" i="2" a="1"/>
  <c r="AL55" i="2" a="1"/>
  <c r="AZ25" i="2" a="1"/>
  <c r="AR39" i="2" a="1"/>
  <c r="AZ35" i="2" a="1"/>
  <c r="AL26" i="2" a="1"/>
  <c r="AZ29" i="2" a="1"/>
  <c r="AZ28" i="2" a="1"/>
  <c r="AL40" i="2" a="1"/>
  <c r="AZ54" i="2" a="1"/>
  <c r="AZ58" i="2" a="1"/>
  <c r="AL32" i="2" a="1"/>
  <c r="AL34" i="2" a="1"/>
  <c r="AR26" i="2" a="1"/>
  <c r="AL28" i="2" a="1"/>
  <c r="AZ43" i="2" a="1"/>
  <c r="AL39" i="2" a="1"/>
  <c r="AZ55" i="2" a="1"/>
  <c r="AL30" i="2" a="1"/>
  <c r="AZ26" i="2" a="1"/>
  <c r="AZ46" i="2" a="1"/>
  <c r="AL25" i="2" a="1"/>
  <c r="AL38" i="2" a="1"/>
  <c r="AZ48" i="2" a="1"/>
  <c r="AZ31" i="2" a="1"/>
  <c r="AL57" i="2" a="1"/>
  <c r="AZ39" i="2" a="1"/>
  <c r="AR40" i="2" a="1"/>
  <c r="AZ30" i="2" a="1"/>
  <c r="AZ56" i="2" a="1"/>
  <c r="AZ57" i="2" a="1"/>
  <c r="AZ36" i="2" a="1"/>
  <c r="AZ38" i="2" a="1"/>
  <c r="AL42" i="2" a="1"/>
  <c r="AR35" i="2" a="1"/>
  <c r="AL50" i="2" a="1"/>
  <c r="AL44" i="2" a="1"/>
  <c r="AL37" i="2" a="1"/>
  <c r="AL54" i="2" a="1"/>
  <c r="AZ44" i="2" a="1"/>
  <c r="AL49" i="2" a="1"/>
  <c r="AR38" i="2" a="1"/>
  <c r="AZ47" i="2" a="1"/>
  <c r="AL52" i="2" a="1"/>
  <c r="AL51" i="2" a="1"/>
  <c r="AZ51" i="2" a="1"/>
  <c r="AR30" i="2" a="1"/>
  <c r="AZ45" i="2" a="1"/>
  <c r="AL29" i="2" a="1"/>
  <c r="AR43" i="2" a="1"/>
  <c r="AZ32" i="2" a="1"/>
  <c r="AZ50" i="2" a="1"/>
  <c r="AL33" i="2" a="1"/>
  <c r="AZ34" i="2" a="1"/>
  <c r="AL46" i="2" a="1"/>
  <c r="AL47" i="2" a="1"/>
  <c r="AL27" i="2" a="1"/>
  <c r="AR34" i="2" a="1"/>
  <c r="AZ52" i="2" a="1"/>
  <c r="AZ27" i="2" a="1"/>
  <c r="AZ49" i="2" a="1"/>
  <c r="AL36" i="2" a="1"/>
  <c r="AR28" i="2" a="1"/>
  <c r="B22" i="5" l="1"/>
  <c r="B42" i="5" s="1"/>
  <c r="B21" i="5"/>
  <c r="B6" i="5"/>
  <c r="B31" i="5"/>
  <c r="B32" i="5"/>
  <c r="B26" i="5"/>
  <c r="B30" i="5"/>
  <c r="K27" i="5"/>
  <c r="K37" i="5"/>
  <c r="K20" i="5"/>
  <c r="K11" i="5"/>
  <c r="O6" i="5"/>
  <c r="O5" i="5"/>
  <c r="J13" i="4"/>
  <c r="J10" i="4"/>
  <c r="H9" i="4"/>
  <c r="H12" i="4"/>
  <c r="I13" i="4"/>
  <c r="G12" i="4"/>
  <c r="I10" i="4"/>
  <c r="G9" i="4"/>
  <c r="H13" i="4"/>
  <c r="J11" i="4"/>
  <c r="H10" i="4"/>
  <c r="J8" i="4"/>
  <c r="G13" i="4"/>
  <c r="G10" i="4"/>
  <c r="I8" i="4"/>
  <c r="I11" i="4"/>
  <c r="J12" i="4"/>
  <c r="H8" i="4"/>
  <c r="H11" i="4"/>
  <c r="J9" i="4"/>
  <c r="I12" i="4"/>
  <c r="G11" i="4"/>
  <c r="I9" i="4"/>
  <c r="G8" i="4"/>
  <c r="H4" i="4"/>
  <c r="G7" i="4"/>
  <c r="I5" i="4"/>
  <c r="G4" i="4"/>
  <c r="J6" i="4"/>
  <c r="J3" i="4"/>
  <c r="H7" i="4"/>
  <c r="I6" i="4"/>
  <c r="G5" i="4"/>
  <c r="I3" i="4"/>
  <c r="H5" i="4"/>
  <c r="J4" i="4"/>
  <c r="J5" i="4"/>
  <c r="J7" i="4"/>
  <c r="H6" i="4"/>
  <c r="H3" i="4"/>
  <c r="I7" i="4"/>
  <c r="G6" i="4"/>
  <c r="I4" i="4"/>
  <c r="G3" i="4"/>
  <c r="J2" i="4"/>
  <c r="I2" i="4"/>
  <c r="H2" i="4"/>
  <c r="G2" i="4"/>
  <c r="BM15" i="1"/>
  <c r="BM9" i="1"/>
  <c r="BM14" i="1"/>
  <c r="BM19" i="1"/>
  <c r="BM12" i="1"/>
  <c r="BM6" i="1"/>
  <c r="BM8" i="1"/>
  <c r="BM7" i="1"/>
  <c r="BM18" i="1"/>
  <c r="BM17" i="1"/>
  <c r="BM11" i="1"/>
  <c r="BM5" i="1"/>
  <c r="BM13" i="1"/>
  <c r="BM16" i="1"/>
  <c r="BM10" i="1"/>
  <c r="BM4" i="1"/>
  <c r="BM3" i="1"/>
  <c r="BI14" i="1"/>
  <c r="BI21" i="1"/>
  <c r="BI9" i="1"/>
  <c r="BI19" i="1"/>
  <c r="BI6" i="1"/>
  <c r="BI13" i="1"/>
  <c r="BI8" i="1"/>
  <c r="BI7" i="1"/>
  <c r="BI18" i="1"/>
  <c r="BI17" i="1"/>
  <c r="BI11" i="1"/>
  <c r="BI5" i="1"/>
  <c r="BI12" i="1"/>
  <c r="BI15" i="1"/>
  <c r="BI20" i="1"/>
  <c r="BI22" i="1"/>
  <c r="BI16" i="1"/>
  <c r="BI10" i="1"/>
  <c r="BI4" i="1"/>
  <c r="BI3" i="1"/>
  <c r="BE9" i="1"/>
  <c r="BE14" i="1"/>
  <c r="BE6" i="1"/>
  <c r="BE7" i="1"/>
  <c r="BE8" i="1"/>
  <c r="BE15" i="1"/>
  <c r="BE5" i="1"/>
  <c r="BE13" i="1"/>
  <c r="BE18" i="1"/>
  <c r="BE12" i="1"/>
  <c r="BE17" i="1"/>
  <c r="BE11" i="1"/>
  <c r="BE16" i="1"/>
  <c r="BE10" i="1"/>
  <c r="BE4" i="1"/>
  <c r="BE3" i="1"/>
  <c r="AZ48" i="2"/>
  <c r="AZ49" i="2"/>
  <c r="AZ54" i="2"/>
  <c r="AZ47" i="2"/>
  <c r="AZ46" i="2"/>
  <c r="AZ53" i="2"/>
  <c r="AZ57" i="2"/>
  <c r="AZ51" i="2"/>
  <c r="AZ45" i="2"/>
  <c r="AZ52" i="2"/>
  <c r="AZ55" i="2"/>
  <c r="AZ58" i="2"/>
  <c r="AZ56" i="2"/>
  <c r="AZ50" i="2"/>
  <c r="AZ44" i="2"/>
  <c r="AZ43" i="2"/>
  <c r="AY52" i="2"/>
  <c r="AY47" i="2"/>
  <c r="AZ31" i="2"/>
  <c r="AZ30" i="2"/>
  <c r="AZ29" i="2"/>
  <c r="AZ40" i="2"/>
  <c r="AZ34" i="2"/>
  <c r="AZ28" i="2"/>
  <c r="AZ38" i="2"/>
  <c r="AZ39" i="2"/>
  <c r="AZ27" i="2"/>
  <c r="AZ37" i="2"/>
  <c r="AZ36" i="2"/>
  <c r="AZ35" i="2"/>
  <c r="AZ33" i="2"/>
  <c r="AZ32" i="2"/>
  <c r="AZ26" i="2"/>
  <c r="AZ25" i="2"/>
  <c r="AY33" i="2"/>
  <c r="AY34" i="2"/>
  <c r="AL48" i="2"/>
  <c r="AL53" i="2"/>
  <c r="AL46" i="2"/>
  <c r="AL51" i="2"/>
  <c r="AL52" i="2"/>
  <c r="AL45" i="2"/>
  <c r="AL56" i="2"/>
  <c r="AL50" i="2"/>
  <c r="AL44" i="2"/>
  <c r="AL54" i="2"/>
  <c r="AL47" i="2"/>
  <c r="AL57" i="2"/>
  <c r="AL55" i="2"/>
  <c r="AL49" i="2"/>
  <c r="AL43" i="2"/>
  <c r="AL42" i="2"/>
  <c r="AK50" i="2"/>
  <c r="AK51" i="2"/>
  <c r="AL38" i="2"/>
  <c r="AL31" i="2"/>
  <c r="AL29" i="2"/>
  <c r="AL37" i="2"/>
  <c r="AL36" i="2"/>
  <c r="AL35" i="2"/>
  <c r="AL40" i="2"/>
  <c r="AL34" i="2"/>
  <c r="AL28" i="2"/>
  <c r="AL27" i="2"/>
  <c r="AL30" i="2"/>
  <c r="AL39" i="2"/>
  <c r="AL33" i="2"/>
  <c r="AL32" i="2"/>
  <c r="AL26" i="2"/>
  <c r="AL25" i="2"/>
  <c r="AK33" i="2"/>
  <c r="AK32" i="2"/>
  <c r="AN25" i="2"/>
  <c r="AN34" i="2" s="1"/>
  <c r="AJ32" i="2"/>
  <c r="AJ31" i="2"/>
  <c r="AJ30" i="2"/>
  <c r="AK18" i="2"/>
  <c r="AJ29" i="2"/>
  <c r="AJ25" i="2"/>
  <c r="AN31" i="2"/>
  <c r="AN40" i="2" s="1"/>
  <c r="AN29" i="2"/>
  <c r="AN38" i="2" s="1"/>
  <c r="AN28" i="2"/>
  <c r="AN37" i="2" s="1"/>
  <c r="AN27" i="2"/>
  <c r="AN36" i="2" s="1"/>
  <c r="AN26" i="2"/>
  <c r="AN35" i="2" s="1"/>
  <c r="AR47" i="2"/>
  <c r="AQ49" i="2"/>
  <c r="AQ48" i="2"/>
  <c r="AR45" i="2"/>
  <c r="AR43" i="2"/>
  <c r="AR40" i="2"/>
  <c r="AR39" i="2"/>
  <c r="AR38" i="2"/>
  <c r="AR30" i="2"/>
  <c r="AR34" i="2"/>
  <c r="AR28" i="2"/>
  <c r="AR32" i="2"/>
  <c r="AR36" i="2"/>
  <c r="AR35" i="2"/>
  <c r="AR26" i="2"/>
  <c r="AN22" i="2"/>
  <c r="B8" i="3"/>
  <c r="D2" i="3"/>
  <c r="D5" i="3"/>
  <c r="AW5" i="1"/>
  <c r="AW10" i="1"/>
  <c r="AW8" i="1"/>
  <c r="AW7" i="1"/>
  <c r="AW11" i="1"/>
  <c r="AW9" i="1"/>
  <c r="AW6" i="1"/>
  <c r="AW4" i="1"/>
  <c r="BA10" i="1"/>
  <c r="BA12" i="1"/>
  <c r="BA9" i="1"/>
  <c r="BA14" i="1"/>
  <c r="BA8" i="1"/>
  <c r="BA13" i="1"/>
  <c r="BA7" i="1"/>
  <c r="BA18" i="1"/>
  <c r="BA6" i="1"/>
  <c r="BA16" i="1"/>
  <c r="BA15" i="1"/>
  <c r="BA17" i="1"/>
  <c r="BA11" i="1"/>
  <c r="BA5" i="1"/>
  <c r="BA4" i="1"/>
  <c r="AO5" i="1"/>
  <c r="AE2" i="1"/>
  <c r="Y11" i="1"/>
  <c r="Y10" i="1"/>
  <c r="Y9" i="1"/>
  <c r="Y8" i="1"/>
  <c r="Y7" i="1"/>
  <c r="Y6" i="1"/>
  <c r="S11" i="1"/>
  <c r="S7" i="1"/>
  <c r="S15" i="1"/>
  <c r="S17" i="1"/>
  <c r="S16" i="1"/>
  <c r="S10" i="1"/>
  <c r="S9" i="1"/>
  <c r="S14" i="1"/>
  <c r="S8" i="1"/>
  <c r="S19" i="1"/>
  <c r="S13" i="1"/>
  <c r="S18" i="1"/>
  <c r="S12" i="1"/>
  <c r="S6" i="1"/>
  <c r="S5" i="1"/>
  <c r="T25" i="1"/>
  <c r="T24" i="1"/>
  <c r="D7" i="3"/>
  <c r="B41" i="5" a="1"/>
  <c r="B40" i="5" a="1"/>
  <c r="B28" i="5" a="1"/>
  <c r="S39" i="1" a="1"/>
  <c r="S26" i="1" a="1"/>
  <c r="D8" i="3" a="1"/>
  <c r="U5" i="1" a="1"/>
  <c r="S35" i="1" a="1"/>
  <c r="S32" i="1" a="1"/>
  <c r="D6" i="3" a="1"/>
  <c r="K12" i="5" a="1"/>
  <c r="S40" i="1" a="1"/>
  <c r="S31" i="1" a="1"/>
  <c r="S33" i="1" a="1"/>
  <c r="S38" i="1" a="1"/>
  <c r="S27" i="1" a="1"/>
  <c r="S36" i="1" a="1"/>
  <c r="S37" i="1" a="1"/>
  <c r="S28" i="1" a="1"/>
  <c r="S34" i="1" a="1"/>
  <c r="S29" i="1" a="1"/>
  <c r="S30" i="1" a="1"/>
  <c r="K21" i="5" a="1"/>
  <c r="K38" i="5" a="1"/>
  <c r="K28" i="5" a="1"/>
  <c r="AR37" i="2" a="1"/>
  <c r="AR25" i="2" a="1"/>
  <c r="AR27" i="2" a="1"/>
  <c r="AR33" i="2" a="1"/>
  <c r="AR46" i="2" a="1"/>
  <c r="AR44" i="2" a="1"/>
  <c r="AR29" i="2" a="1"/>
  <c r="AR42" i="2" a="1"/>
  <c r="AR49" i="2" a="1"/>
  <c r="AR48" i="2" a="1"/>
  <c r="AR31" i="2" a="1"/>
  <c r="B41" i="5" l="1"/>
  <c r="B40" i="5"/>
  <c r="B28" i="5"/>
  <c r="K38" i="5"/>
  <c r="K28" i="5"/>
  <c r="K12" i="5"/>
  <c r="K21" i="5"/>
  <c r="D8" i="3"/>
  <c r="AY54" i="2"/>
  <c r="AY49" i="2"/>
  <c r="AY36" i="2"/>
  <c r="AY35" i="2"/>
  <c r="AK53" i="2"/>
  <c r="AK52" i="2"/>
  <c r="AK34" i="2"/>
  <c r="AK35" i="2"/>
  <c r="AR42" i="2"/>
  <c r="AR25" i="2"/>
  <c r="AR31" i="2"/>
  <c r="AR46" i="2"/>
  <c r="AR29" i="2"/>
  <c r="AR37" i="2"/>
  <c r="AR44" i="2"/>
  <c r="AR27" i="2"/>
  <c r="AR33" i="2"/>
  <c r="AR49" i="2"/>
  <c r="AR48" i="2"/>
  <c r="AQ51" i="2"/>
  <c r="AQ50" i="2"/>
  <c r="S27" i="1"/>
  <c r="S33" i="1"/>
  <c r="S39" i="1"/>
  <c r="S34" i="1"/>
  <c r="S40" i="1"/>
  <c r="S29" i="1"/>
  <c r="S35" i="1"/>
  <c r="S36" i="1"/>
  <c r="S37" i="1"/>
  <c r="S38" i="1"/>
  <c r="S30" i="1"/>
  <c r="S28" i="1"/>
  <c r="S32" i="1"/>
  <c r="S31" i="1"/>
  <c r="S26" i="1"/>
  <c r="U5" i="1"/>
  <c r="D6" i="3"/>
  <c r="B35" i="5" a="1"/>
  <c r="U28" i="1" a="1"/>
  <c r="U29" i="1" a="1"/>
  <c r="U31" i="1" a="1"/>
  <c r="D11" i="3" a="1"/>
  <c r="U38" i="1" a="1"/>
  <c r="D9" i="3" a="1"/>
  <c r="U27" i="1" a="1"/>
  <c r="D12" i="3" a="1"/>
  <c r="U34" i="1" a="1"/>
  <c r="U26" i="1" a="1"/>
  <c r="U33" i="1" a="1"/>
  <c r="U40" i="1" a="1"/>
  <c r="U35" i="1" a="1"/>
  <c r="U30" i="1" a="1"/>
  <c r="U36" i="1" a="1"/>
  <c r="U37" i="1" a="1"/>
  <c r="U32" i="1" a="1"/>
  <c r="U39" i="1" a="1"/>
  <c r="O7" i="5" a="1"/>
  <c r="AR50" i="2" a="1"/>
  <c r="AR51" i="2" a="1"/>
  <c r="B35" i="5" l="1"/>
  <c r="O7" i="5"/>
  <c r="D12" i="3"/>
  <c r="AY51" i="2"/>
  <c r="AY56" i="2"/>
  <c r="AY37" i="2"/>
  <c r="AY38" i="2"/>
  <c r="AK54" i="2"/>
  <c r="AK55" i="2"/>
  <c r="AK37" i="2"/>
  <c r="AK36" i="2"/>
  <c r="AR50" i="2"/>
  <c r="AR51" i="2"/>
  <c r="AQ52" i="2"/>
  <c r="AQ53" i="2"/>
  <c r="D11" i="3"/>
  <c r="D9" i="3"/>
  <c r="U31" i="1"/>
  <c r="U36" i="1"/>
  <c r="U40" i="1"/>
  <c r="U37" i="1"/>
  <c r="U30" i="1"/>
  <c r="U26" i="1"/>
  <c r="U39" i="1"/>
  <c r="U29" i="1"/>
  <c r="U33" i="1"/>
  <c r="U28" i="1"/>
  <c r="U32" i="1"/>
  <c r="U34" i="1"/>
  <c r="U35" i="1"/>
  <c r="U38" i="1"/>
  <c r="U27" i="1"/>
  <c r="B36" i="5" a="1"/>
  <c r="K42" i="5" a="1"/>
  <c r="U13" i="1" a="1"/>
  <c r="AS28" i="1" a="1"/>
  <c r="B9" i="3" a="1"/>
  <c r="O3" i="1" a="1"/>
  <c r="U11" i="1" a="1"/>
  <c r="D10" i="3" a="1"/>
  <c r="K9" i="1" a="1"/>
  <c r="AS15" i="1" a="1"/>
  <c r="G4" i="1" a="1"/>
  <c r="K15" i="1" a="1"/>
  <c r="K14" i="1" a="1"/>
  <c r="K19" i="1" a="1"/>
  <c r="AS16" i="1" a="1"/>
  <c r="U9" i="1" a="1"/>
  <c r="AS13" i="1" a="1"/>
  <c r="AS27" i="1" a="1"/>
  <c r="O9" i="1" a="1"/>
  <c r="U7" i="1" a="1"/>
  <c r="U16" i="1" a="1"/>
  <c r="AS18" i="1" a="1"/>
  <c r="O8" i="1" a="1"/>
  <c r="K5" i="1" a="1"/>
  <c r="G3" i="1" a="1"/>
  <c r="K13" i="1" a="1"/>
  <c r="AS8" i="1" a="1"/>
  <c r="AS17" i="1" a="1"/>
  <c r="K16" i="1" a="1"/>
  <c r="U10" i="1" a="1"/>
  <c r="AS5" i="1" a="1"/>
  <c r="U8" i="1" a="1"/>
  <c r="AS11" i="1" a="1"/>
  <c r="K4" i="1" a="1"/>
  <c r="U19" i="1" a="1"/>
  <c r="U15" i="1" a="1"/>
  <c r="U12" i="1" a="1"/>
  <c r="AS9" i="1" a="1"/>
  <c r="U6" i="1" a="1"/>
  <c r="AS12" i="1" a="1"/>
  <c r="O7" i="1" a="1"/>
  <c r="G9" i="1" a="1"/>
  <c r="K17" i="1" a="1"/>
  <c r="K7" i="1" a="1"/>
  <c r="G11" i="1" a="1"/>
  <c r="K8" i="1" a="1"/>
  <c r="AS23" i="1" a="1"/>
  <c r="K12" i="1" a="1"/>
  <c r="B12" i="3" a="1"/>
  <c r="K11" i="1" a="1"/>
  <c r="G7" i="1" a="1"/>
  <c r="O4" i="1" a="1"/>
  <c r="U14" i="1" a="1"/>
  <c r="O6" i="1" a="1"/>
  <c r="K18" i="1" a="1"/>
  <c r="AS25" i="1" a="1"/>
  <c r="AS21" i="1" a="1"/>
  <c r="AS7" i="1" a="1"/>
  <c r="G8" i="1" a="1"/>
  <c r="O5" i="1" a="1"/>
  <c r="K6" i="1" a="1"/>
  <c r="AS19" i="1" a="1"/>
  <c r="O10" i="1" a="1"/>
  <c r="AS10" i="1" a="1"/>
  <c r="U17" i="1" a="1"/>
  <c r="AS14" i="1" a="1"/>
  <c r="U18" i="1" a="1"/>
  <c r="K3" i="1" a="1"/>
  <c r="K10" i="1" a="1"/>
  <c r="AS4" i="1" a="1"/>
  <c r="AS26" i="1" a="1"/>
  <c r="AS20" i="1" a="1"/>
  <c r="AS6" i="1" a="1"/>
  <c r="G10" i="1" a="1"/>
  <c r="AS24" i="1" a="1"/>
  <c r="K20" i="1" a="1"/>
  <c r="G6" i="1" a="1"/>
  <c r="AS22" i="1" a="1"/>
  <c r="G5" i="1" a="1"/>
  <c r="AR53" i="2" a="1"/>
  <c r="AR52" i="2" a="1"/>
  <c r="B36" i="5" l="1"/>
  <c r="K42" i="5"/>
  <c r="AY53" i="2"/>
  <c r="AY58" i="2"/>
  <c r="AY40" i="2"/>
  <c r="AY39" i="2"/>
  <c r="AK57" i="2"/>
  <c r="AK56" i="2"/>
  <c r="AK38" i="2"/>
  <c r="AK39" i="2"/>
  <c r="AR53" i="2"/>
  <c r="AR52" i="2"/>
  <c r="AQ55" i="2"/>
  <c r="AQ54" i="2"/>
  <c r="D10" i="3"/>
  <c r="B12" i="3"/>
  <c r="B9" i="3"/>
  <c r="U17" i="1"/>
  <c r="U8" i="1"/>
  <c r="U18" i="1"/>
  <c r="U19" i="1"/>
  <c r="U15" i="1"/>
  <c r="U11" i="1"/>
  <c r="U13" i="1"/>
  <c r="U7" i="1"/>
  <c r="U10" i="1"/>
  <c r="U14" i="1"/>
  <c r="U6" i="1"/>
  <c r="U12" i="1"/>
  <c r="U16" i="1"/>
  <c r="U9" i="1"/>
  <c r="O8" i="1"/>
  <c r="O9" i="1"/>
  <c r="O7" i="1"/>
  <c r="O6" i="1"/>
  <c r="O5" i="1"/>
  <c r="O10" i="1"/>
  <c r="O4" i="1"/>
  <c r="O3" i="1"/>
  <c r="K15" i="1"/>
  <c r="K20" i="1"/>
  <c r="K18" i="1"/>
  <c r="K8" i="1"/>
  <c r="K6" i="1"/>
  <c r="K5" i="1"/>
  <c r="K14" i="1"/>
  <c r="K17" i="1"/>
  <c r="K9" i="1"/>
  <c r="K19" i="1"/>
  <c r="K13" i="1"/>
  <c r="K7" i="1"/>
  <c r="K12" i="1"/>
  <c r="K11" i="1"/>
  <c r="K16" i="1"/>
  <c r="K10" i="1"/>
  <c r="K4" i="1"/>
  <c r="K3" i="1"/>
  <c r="G7" i="1"/>
  <c r="G10" i="1"/>
  <c r="G8" i="1"/>
  <c r="G6" i="1"/>
  <c r="G5" i="1"/>
  <c r="G9" i="1"/>
  <c r="G11" i="1"/>
  <c r="G4" i="1"/>
  <c r="G3" i="1"/>
  <c r="AS20" i="1"/>
  <c r="AS28" i="1"/>
  <c r="AS16" i="1"/>
  <c r="AS10" i="1"/>
  <c r="AS21" i="1"/>
  <c r="AS15" i="1"/>
  <c r="AS14" i="1"/>
  <c r="AS25" i="1"/>
  <c r="AS13" i="1"/>
  <c r="AS6" i="1"/>
  <c r="AS22" i="1"/>
  <c r="AS27" i="1"/>
  <c r="AS9" i="1"/>
  <c r="AS26" i="1"/>
  <c r="AS8" i="1"/>
  <c r="AS19" i="1"/>
  <c r="AS7" i="1"/>
  <c r="AS24" i="1"/>
  <c r="AS18" i="1"/>
  <c r="AS12" i="1"/>
  <c r="AS23" i="1"/>
  <c r="AS17" i="1"/>
  <c r="AS11" i="1"/>
  <c r="AS5" i="1"/>
  <c r="AS4" i="1"/>
  <c r="AH6" i="2"/>
  <c r="AH3" i="2"/>
  <c r="AH19" i="2"/>
  <c r="AH16" i="2"/>
  <c r="AG25" i="2" s="1"/>
  <c r="AH4" i="2"/>
  <c r="AH5" i="2"/>
  <c r="AG21" i="2" s="1"/>
  <c r="AH7" i="2"/>
  <c r="AH8" i="2"/>
  <c r="AG33" i="2" s="1"/>
  <c r="AH9" i="2"/>
  <c r="AG22" i="2" s="1"/>
  <c r="AH10" i="2"/>
  <c r="AG23" i="2" s="1"/>
  <c r="AH11" i="2"/>
  <c r="AG24" i="2" s="1"/>
  <c r="AH12" i="2"/>
  <c r="AH13" i="2"/>
  <c r="AH14" i="2"/>
  <c r="AH15" i="2"/>
  <c r="AH17" i="2"/>
  <c r="AH2" i="2"/>
  <c r="AD32" i="2"/>
  <c r="AD30" i="2"/>
  <c r="AD28" i="2"/>
  <c r="AD26" i="2"/>
  <c r="AD23" i="2"/>
  <c r="AD21" i="2"/>
  <c r="AD19" i="2"/>
  <c r="AD17" i="2"/>
  <c r="AC3" i="2"/>
  <c r="AC4" i="2"/>
  <c r="AB17" i="2" s="1"/>
  <c r="AC5" i="2"/>
  <c r="AB18" i="2" s="1"/>
  <c r="AC6" i="2"/>
  <c r="AB21" i="2" s="1"/>
  <c r="AC7" i="2"/>
  <c r="AB24" i="2" s="1"/>
  <c r="AC8" i="2"/>
  <c r="AB25" i="2" s="1"/>
  <c r="AC9" i="2"/>
  <c r="AB26" i="2" s="1"/>
  <c r="AC2" i="2"/>
  <c r="AB13" i="2" s="1"/>
  <c r="T26" i="2"/>
  <c r="W46" i="2" s="1"/>
  <c r="S24" i="2"/>
  <c r="T24" i="2" s="1"/>
  <c r="W40" i="2" s="1"/>
  <c r="S25" i="2"/>
  <c r="T25" i="2" s="1"/>
  <c r="W45" i="2" s="1"/>
  <c r="S19" i="2"/>
  <c r="T19" i="2" s="1"/>
  <c r="W10" i="2" s="1"/>
  <c r="S20" i="2"/>
  <c r="T20" i="2" s="1"/>
  <c r="W16" i="2" s="1"/>
  <c r="S21" i="2"/>
  <c r="T21" i="2" s="1"/>
  <c r="W22" i="2" s="1"/>
  <c r="S22" i="2"/>
  <c r="T22" i="2" s="1"/>
  <c r="W28" i="2" s="1"/>
  <c r="S23" i="2"/>
  <c r="T23" i="2" s="1"/>
  <c r="W34" i="2" s="1"/>
  <c r="S18" i="2"/>
  <c r="T18" i="2" s="1"/>
  <c r="S17" i="2"/>
  <c r="T17" i="2" s="1"/>
  <c r="W44" i="2" s="1"/>
  <c r="S11" i="2"/>
  <c r="T11" i="2" s="1"/>
  <c r="W9" i="2" s="1"/>
  <c r="S12" i="2"/>
  <c r="T12" i="2" s="1"/>
  <c r="W15" i="2" s="1"/>
  <c r="S13" i="2"/>
  <c r="T13" i="2" s="1"/>
  <c r="W21" i="2" s="1"/>
  <c r="S14" i="2"/>
  <c r="T14" i="2" s="1"/>
  <c r="W27" i="2" s="1"/>
  <c r="S15" i="2"/>
  <c r="T15" i="2" s="1"/>
  <c r="W33" i="2" s="1"/>
  <c r="S16" i="2"/>
  <c r="T16" i="2" s="1"/>
  <c r="W39" i="2" s="1"/>
  <c r="S10" i="2"/>
  <c r="T10" i="2" s="1"/>
  <c r="S3" i="2"/>
  <c r="T3" i="2" s="1"/>
  <c r="W8" i="2" s="1"/>
  <c r="S4" i="2"/>
  <c r="T4" i="2" s="1"/>
  <c r="W14" i="2" s="1"/>
  <c r="S5" i="2"/>
  <c r="T5" i="2" s="1"/>
  <c r="W20" i="2" s="1"/>
  <c r="S6" i="2"/>
  <c r="T6" i="2" s="1"/>
  <c r="W26" i="2" s="1"/>
  <c r="S7" i="2"/>
  <c r="T7" i="2" s="1"/>
  <c r="W32" i="2" s="1"/>
  <c r="S8" i="2"/>
  <c r="T8" i="2" s="1"/>
  <c r="W38" i="2" s="1"/>
  <c r="S9" i="2"/>
  <c r="T9" i="2" s="1"/>
  <c r="W43" i="2" s="1"/>
  <c r="S2" i="2"/>
  <c r="T2" i="2" s="1"/>
  <c r="Q3" i="2"/>
  <c r="Q4" i="2"/>
  <c r="Q2" i="2"/>
  <c r="Q5" i="2" s="1"/>
  <c r="E21" i="2"/>
  <c r="E10" i="2"/>
  <c r="H6" i="2"/>
  <c r="E12" i="2"/>
  <c r="E23" i="2"/>
  <c r="N3" i="2"/>
  <c r="N4" i="2"/>
  <c r="N5" i="2"/>
  <c r="N6" i="2"/>
  <c r="N7" i="2"/>
  <c r="N8" i="2"/>
  <c r="N9" i="2"/>
  <c r="N2" i="2"/>
  <c r="B39" i="5" a="1"/>
  <c r="AL100" i="1" a="1"/>
  <c r="AL32" i="1" a="1"/>
  <c r="AL10" i="1" a="1"/>
  <c r="AL77" i="1" a="1"/>
  <c r="AL5" i="1" a="1"/>
  <c r="AL97" i="1" a="1"/>
  <c r="AL85" i="1" a="1"/>
  <c r="AL8" i="1" a="1"/>
  <c r="AL89" i="1" a="1"/>
  <c r="AL92" i="1" a="1"/>
  <c r="AL2" i="1" a="1"/>
  <c r="AL88" i="1" a="1"/>
  <c r="B10" i="3" a="1"/>
  <c r="AL90" i="1" a="1"/>
  <c r="AL67" i="1" a="1"/>
  <c r="AL86" i="1" a="1"/>
  <c r="AL74" i="1" a="1"/>
  <c r="AL71" i="1" a="1"/>
  <c r="AL79" i="1" a="1"/>
  <c r="AL105" i="1" a="1"/>
  <c r="AL68" i="1" a="1"/>
  <c r="AL96" i="1" a="1"/>
  <c r="AL30" i="1" a="1"/>
  <c r="AL95" i="1" a="1"/>
  <c r="AL70" i="1" a="1"/>
  <c r="AL9" i="1" a="1"/>
  <c r="AL101" i="1" a="1"/>
  <c r="AL72" i="1" a="1"/>
  <c r="AL7" i="1" a="1"/>
  <c r="AL103" i="1" a="1"/>
  <c r="AL4" i="1" a="1"/>
  <c r="AL91" i="1" a="1"/>
  <c r="AL84" i="1" a="1"/>
  <c r="AL78" i="1" a="1"/>
  <c r="AL104" i="1" a="1"/>
  <c r="AL99" i="1" a="1"/>
  <c r="AL3" i="1" a="1"/>
  <c r="AL93" i="1" a="1"/>
  <c r="AL87" i="1" a="1"/>
  <c r="AL98" i="1" a="1"/>
  <c r="AL82" i="1" a="1"/>
  <c r="AL69" i="1" a="1"/>
  <c r="AL102" i="1" a="1"/>
  <c r="AL94" i="1" a="1"/>
  <c r="AL106" i="1" a="1"/>
  <c r="AL6" i="1" a="1"/>
  <c r="AL83" i="1" a="1"/>
  <c r="AL73" i="1" a="1"/>
  <c r="AR55" i="2" a="1"/>
  <c r="AR54" i="2" a="1"/>
  <c r="B39" i="5" l="1"/>
  <c r="AY55" i="2"/>
  <c r="AK40" i="2"/>
  <c r="AD18" i="2"/>
  <c r="AR55" i="2"/>
  <c r="AR54" i="2"/>
  <c r="AQ57" i="2"/>
  <c r="AQ56" i="2"/>
  <c r="B10" i="3"/>
  <c r="AH18" i="2"/>
  <c r="AD27" i="2"/>
  <c r="AG29" i="2"/>
  <c r="AG31" i="2"/>
  <c r="AG30" i="2"/>
  <c r="AG32" i="2"/>
  <c r="AD31" i="2"/>
  <c r="AD20" i="2"/>
  <c r="AD29" i="2"/>
  <c r="AD22" i="2"/>
  <c r="AC10" i="2"/>
  <c r="N10" i="2"/>
  <c r="W23" i="2"/>
  <c r="W47" i="2"/>
  <c r="W35" i="2"/>
  <c r="W41" i="2"/>
  <c r="W29" i="2"/>
  <c r="AB14" i="2"/>
  <c r="AD16" i="2" s="1"/>
  <c r="T31" i="2"/>
  <c r="W3" i="2"/>
  <c r="T30" i="2"/>
  <c r="W2" i="2"/>
  <c r="T29" i="2"/>
  <c r="T27" i="2"/>
  <c r="W11" i="2"/>
  <c r="W17" i="2"/>
  <c r="W4" i="2"/>
  <c r="AL7" i="1"/>
  <c r="AL6" i="1"/>
  <c r="AL5" i="1"/>
  <c r="AL10" i="1"/>
  <c r="AL4" i="1"/>
  <c r="AL9" i="1"/>
  <c r="AL3" i="1"/>
  <c r="AL8" i="1"/>
  <c r="AL2" i="1"/>
  <c r="AL106" i="1"/>
  <c r="AL87" i="1"/>
  <c r="AL98" i="1"/>
  <c r="AL86" i="1"/>
  <c r="AL105" i="1"/>
  <c r="AL85" i="1"/>
  <c r="AL94" i="1"/>
  <c r="AL93" i="1"/>
  <c r="AL91" i="1"/>
  <c r="AL88" i="1"/>
  <c r="AL99" i="1"/>
  <c r="AL92" i="1"/>
  <c r="AL96" i="1"/>
  <c r="AL90" i="1"/>
  <c r="AL84" i="1"/>
  <c r="AL97" i="1"/>
  <c r="AL100" i="1"/>
  <c r="AL104" i="1"/>
  <c r="AL103" i="1"/>
  <c r="AL102" i="1"/>
  <c r="AL101" i="1"/>
  <c r="AL95" i="1"/>
  <c r="AL89" i="1"/>
  <c r="AL83" i="1"/>
  <c r="AL82" i="1"/>
  <c r="AL79" i="1"/>
  <c r="AL78" i="1"/>
  <c r="AL77" i="1"/>
  <c r="AL73" i="1"/>
  <c r="AL70" i="1"/>
  <c r="AL69" i="1"/>
  <c r="AL72" i="1"/>
  <c r="AL71" i="1"/>
  <c r="AL74" i="1"/>
  <c r="AL68" i="1"/>
  <c r="AL67" i="1"/>
  <c r="AL32" i="1"/>
  <c r="AL30" i="1"/>
  <c r="AO15" i="1"/>
  <c r="B46" i="5" a="1"/>
  <c r="B45" i="5" a="1"/>
  <c r="B44" i="5" a="1"/>
  <c r="AR57" i="2" a="1"/>
  <c r="AR56" i="2" a="1"/>
  <c r="B46" i="5" l="1"/>
  <c r="B45" i="5"/>
  <c r="B44" i="5"/>
  <c r="AY57" i="2"/>
  <c r="AR56" i="2"/>
  <c r="AR57" i="2"/>
  <c r="AG34" i="2"/>
  <c r="AD25" i="2"/>
  <c r="W5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2" i="2"/>
  <c r="H3" i="2"/>
  <c r="H4" i="2"/>
  <c r="H5" i="2"/>
  <c r="H7" i="2"/>
  <c r="H8" i="2"/>
  <c r="H9" i="2"/>
  <c r="H10" i="2"/>
  <c r="H2" i="2"/>
  <c r="E3" i="2"/>
  <c r="E4" i="2"/>
  <c r="E5" i="2"/>
  <c r="E6" i="2"/>
  <c r="E7" i="2"/>
  <c r="E8" i="2"/>
  <c r="E9" i="2"/>
  <c r="E11" i="2"/>
  <c r="E13" i="2"/>
  <c r="E14" i="2"/>
  <c r="E15" i="2"/>
  <c r="E16" i="2"/>
  <c r="E17" i="2"/>
  <c r="E18" i="2"/>
  <c r="E19" i="2"/>
  <c r="E20" i="2"/>
  <c r="E22" i="2"/>
  <c r="E24" i="2"/>
  <c r="E2" i="2"/>
  <c r="B3" i="2"/>
  <c r="B4" i="2"/>
  <c r="B5" i="2"/>
  <c r="B6" i="2"/>
  <c r="B7" i="2"/>
  <c r="B8" i="2"/>
  <c r="B9" i="2"/>
  <c r="B10" i="2"/>
  <c r="B2" i="2"/>
  <c r="AE3" i="1"/>
  <c r="AE4" i="1"/>
  <c r="AL17" i="1" a="1"/>
  <c r="AL19" i="1" a="1"/>
  <c r="AL52" i="1" a="1"/>
  <c r="AL51" i="1" a="1"/>
  <c r="AL20" i="1" a="1"/>
  <c r="AL42" i="1" a="1"/>
  <c r="AL59" i="1" a="1"/>
  <c r="AL24" i="1" a="1"/>
  <c r="AL48" i="1" a="1"/>
  <c r="AL57" i="1" a="1"/>
  <c r="C4" i="1" a="1"/>
  <c r="AL54" i="1" a="1"/>
  <c r="AL49" i="1" a="1"/>
  <c r="AL22" i="1" a="1"/>
  <c r="AL15" i="1" a="1"/>
  <c r="AL53" i="1" a="1"/>
  <c r="AL64" i="1" a="1"/>
  <c r="AL39" i="1" a="1"/>
  <c r="AO11" i="1" a="1"/>
  <c r="AL33" i="1" a="1"/>
  <c r="AL38" i="1" a="1"/>
  <c r="AL61" i="1" a="1"/>
  <c r="AL58" i="1" a="1"/>
  <c r="AL31" i="1" a="1"/>
  <c r="AL23" i="1" a="1"/>
  <c r="AL50" i="1" a="1"/>
  <c r="C9" i="1" a="1"/>
  <c r="AL27" i="1" a="1"/>
  <c r="AL28" i="1" a="1"/>
  <c r="AL44" i="1" a="1"/>
  <c r="C3" i="1" a="1"/>
  <c r="AO3" i="1" a="1"/>
  <c r="AL40" i="1" a="1"/>
  <c r="AL43" i="1" a="1"/>
  <c r="AE1" i="1" a="1"/>
  <c r="C6" i="1" a="1"/>
  <c r="AO8" i="1" a="1"/>
  <c r="C5" i="1" a="1"/>
  <c r="AL37" i="1" a="1"/>
  <c r="AL21" i="1" a="1"/>
  <c r="AL16" i="1" a="1"/>
  <c r="AL18" i="1" a="1"/>
  <c r="AL29" i="1" a="1"/>
  <c r="AL25" i="1" a="1"/>
  <c r="AL60" i="1" a="1"/>
  <c r="AL47" i="1" a="1"/>
  <c r="AL41" i="1" a="1"/>
  <c r="AL55" i="1" a="1"/>
  <c r="AL13" i="1" a="1"/>
  <c r="AL26" i="1" a="1"/>
  <c r="AL36" i="1" a="1"/>
  <c r="AL14" i="1" a="1"/>
  <c r="AL56" i="1" a="1"/>
  <c r="H11" i="2" l="1"/>
  <c r="K17" i="2"/>
  <c r="E25" i="2"/>
  <c r="B11" i="2"/>
  <c r="AO11" i="1"/>
  <c r="AO8" i="1"/>
  <c r="AO13" i="1"/>
  <c r="AO3" i="1"/>
  <c r="AL64" i="1"/>
  <c r="AL57" i="1"/>
  <c r="AL51" i="1"/>
  <c r="AL50" i="1"/>
  <c r="AL49" i="1"/>
  <c r="AL15" i="1"/>
  <c r="AL26" i="1"/>
  <c r="AL33" i="1"/>
  <c r="AL25" i="1"/>
  <c r="AL19" i="1"/>
  <c r="AL13" i="1"/>
  <c r="AL21" i="1"/>
  <c r="AL56" i="1"/>
  <c r="AL20" i="1"/>
  <c r="AL40" i="1"/>
  <c r="AL27" i="1"/>
  <c r="AL42" i="1"/>
  <c r="AL55" i="1"/>
  <c r="AL54" i="1"/>
  <c r="AL37" i="1"/>
  <c r="AL29" i="1"/>
  <c r="AL43" i="1"/>
  <c r="AL14" i="1"/>
  <c r="AL61" i="1"/>
  <c r="AL60" i="1"/>
  <c r="AL48" i="1"/>
  <c r="AL24" i="1"/>
  <c r="AL53" i="1"/>
  <c r="AL39" i="1"/>
  <c r="AL23" i="1"/>
  <c r="AL17" i="1"/>
  <c r="AL36" i="1"/>
  <c r="AL41" i="1"/>
  <c r="AL31" i="1"/>
  <c r="AL18" i="1"/>
  <c r="AL59" i="1"/>
  <c r="AL47" i="1"/>
  <c r="AL58" i="1"/>
  <c r="AL52" i="1"/>
  <c r="AL44" i="1"/>
  <c r="AL38" i="1"/>
  <c r="AL28" i="1"/>
  <c r="AL22" i="1"/>
  <c r="AL16" i="1"/>
  <c r="AG2" i="1"/>
  <c r="AE1" i="1"/>
  <c r="AB6" i="1"/>
  <c r="AB9" i="1"/>
  <c r="AB8" i="1"/>
  <c r="AB11" i="1"/>
  <c r="AB10" i="1"/>
  <c r="AB7" i="1"/>
  <c r="C9" i="1"/>
  <c r="C3" i="1"/>
  <c r="C6" i="1"/>
  <c r="C5" i="1"/>
  <c r="C4" i="1"/>
  <c r="AO16" i="1" a="1"/>
  <c r="AO14" i="1" a="1"/>
  <c r="AO16" i="1" l="1"/>
  <c r="AO14" i="1"/>
  <c r="AE5" i="1"/>
  <c r="AE6" i="1" s="1"/>
  <c r="AE7" i="1" a="1"/>
  <c r="AE7" i="1" l="1"/>
  <c r="AH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<sst xmlns="http://schemas.openxmlformats.org/spreadsheetml/2006/main" count="1768" uniqueCount="726">
  <si>
    <t>Standard</t>
  </si>
  <si>
    <t>IUPAC_STP</t>
  </si>
  <si>
    <t>K</t>
  </si>
  <si>
    <t>Pa</t>
  </si>
  <si>
    <t>Metric Temperature</t>
  </si>
  <si>
    <t>Metric Pressure</t>
  </si>
  <si>
    <t>Customary Temperature</t>
  </si>
  <si>
    <t>Customary Pressure</t>
  </si>
  <si>
    <t>R</t>
  </si>
  <si>
    <t>psia</t>
  </si>
  <si>
    <t>m3/s</t>
  </si>
  <si>
    <t>m3/hr</t>
  </si>
  <si>
    <t>cm3/s</t>
  </si>
  <si>
    <t>cm3/hr</t>
  </si>
  <si>
    <t>L/s</t>
  </si>
  <si>
    <t>L/hr</t>
  </si>
  <si>
    <t>in3/s</t>
  </si>
  <si>
    <t>in3/hr</t>
  </si>
  <si>
    <t>ft3/s</t>
  </si>
  <si>
    <t>ft3/hr</t>
  </si>
  <si>
    <t>gal/s</t>
  </si>
  <si>
    <t>gal/hr</t>
  </si>
  <si>
    <t>Initial Value</t>
  </si>
  <si>
    <t>ccs</t>
  </si>
  <si>
    <t>kg/m3</t>
  </si>
  <si>
    <t>kg/cm3</t>
  </si>
  <si>
    <t>kg/L</t>
  </si>
  <si>
    <t>g/m3</t>
  </si>
  <si>
    <t>g/L</t>
  </si>
  <si>
    <t>lbm/in3</t>
  </si>
  <si>
    <t>lbm/ft3</t>
  </si>
  <si>
    <t>lbm/gal</t>
  </si>
  <si>
    <t>Volume Flow Check</t>
  </si>
  <si>
    <t>Density Check</t>
  </si>
  <si>
    <t>Mass Flow Check</t>
  </si>
  <si>
    <t>kg/s</t>
  </si>
  <si>
    <t>kg/hr</t>
  </si>
  <si>
    <t>g/s</t>
  </si>
  <si>
    <t>g/hr</t>
  </si>
  <si>
    <t>lbm/s</t>
  </si>
  <si>
    <t>lbm/hr</t>
  </si>
  <si>
    <t>Universal Gas Constant</t>
  </si>
  <si>
    <t>Standard Flow Check</t>
  </si>
  <si>
    <t>Gas</t>
  </si>
  <si>
    <t>O2</t>
  </si>
  <si>
    <t>string</t>
  </si>
  <si>
    <t>scms</t>
  </si>
  <si>
    <t>scmm</t>
  </si>
  <si>
    <t>scmh</t>
  </si>
  <si>
    <t>slps</t>
  </si>
  <si>
    <t>slpm</t>
  </si>
  <si>
    <t>slph</t>
  </si>
  <si>
    <t>sccs</t>
  </si>
  <si>
    <t>sccm</t>
  </si>
  <si>
    <t>scch</t>
  </si>
  <si>
    <t>scfs</t>
  </si>
  <si>
    <t>scfm</t>
  </si>
  <si>
    <t>scfh</t>
  </si>
  <si>
    <t>scis</t>
  </si>
  <si>
    <t>scim</t>
  </si>
  <si>
    <t>scih</t>
  </si>
  <si>
    <t>NTP</t>
  </si>
  <si>
    <t>F</t>
  </si>
  <si>
    <t>Mass Flow</t>
  </si>
  <si>
    <t>Specific Gas Constant</t>
  </si>
  <si>
    <t>J/kg*K</t>
  </si>
  <si>
    <t>Standard Temp</t>
  </si>
  <si>
    <t>Standard Pressure</t>
  </si>
  <si>
    <t>Standard Density</t>
  </si>
  <si>
    <t>Standard Flow Rate</t>
  </si>
  <si>
    <t>kPa</t>
  </si>
  <si>
    <t>ISO 2314 and ISO 3977-2 had -.03383 error - 59 F, 101.33 kPa</t>
  </si>
  <si>
    <t>ISO 2533, ISO13443, ISO7504 has .002626 error, 59 F, 101.325 kPa</t>
  </si>
  <si>
    <t>ISO 2533</t>
  </si>
  <si>
    <t>Valcor Answer</t>
  </si>
  <si>
    <t>Error</t>
  </si>
  <si>
    <t>Calculated</t>
  </si>
  <si>
    <t>Unit</t>
  </si>
  <si>
    <t>Standard Flow Check - Valcor (No Compressibility)</t>
  </si>
  <si>
    <t>Mass Flow Units</t>
  </si>
  <si>
    <t>Volume Flow Units</t>
  </si>
  <si>
    <t>Density Units</t>
  </si>
  <si>
    <t>Standard Volume Flow Units</t>
  </si>
  <si>
    <t>VBA Case</t>
  </si>
  <si>
    <t>floogle</t>
  </si>
  <si>
    <t>General fluidConvert Check</t>
  </si>
  <si>
    <t>Initial Mass Flow</t>
  </si>
  <si>
    <t>Standard Flow</t>
  </si>
  <si>
    <t>N2</t>
  </si>
  <si>
    <t>Initial Volume Flow</t>
  </si>
  <si>
    <t>Volume Flow</t>
  </si>
  <si>
    <t>Initial Density</t>
  </si>
  <si>
    <t>Density</t>
  </si>
  <si>
    <t>Initial Standard Volume Flow</t>
  </si>
  <si>
    <t>Standard Volume Flow</t>
  </si>
  <si>
    <t>psi</t>
  </si>
  <si>
    <t>Length Units</t>
  </si>
  <si>
    <t>m</t>
  </si>
  <si>
    <t>mm</t>
  </si>
  <si>
    <t>km</t>
  </si>
  <si>
    <t>cm</t>
  </si>
  <si>
    <t>in</t>
  </si>
  <si>
    <t>ft</t>
  </si>
  <si>
    <t>yd</t>
  </si>
  <si>
    <t>mi</t>
  </si>
  <si>
    <t>Speed Units</t>
  </si>
  <si>
    <t>Time Units</t>
  </si>
  <si>
    <t>s</t>
  </si>
  <si>
    <t>min</t>
  </si>
  <si>
    <t>hr</t>
  </si>
  <si>
    <t>kg/min</t>
  </si>
  <si>
    <t>g/min</t>
  </si>
  <si>
    <t>lbm/min</t>
  </si>
  <si>
    <t>m3/min</t>
  </si>
  <si>
    <t>cm3/min</t>
  </si>
  <si>
    <t>L/min</t>
  </si>
  <si>
    <t>in3/min</t>
  </si>
  <si>
    <t>ft3/min</t>
  </si>
  <si>
    <t>gal/min</t>
  </si>
  <si>
    <t>gpm</t>
  </si>
  <si>
    <t>lpm</t>
  </si>
  <si>
    <t>g/cm3</t>
  </si>
  <si>
    <t>lps</t>
  </si>
  <si>
    <t>gps</t>
  </si>
  <si>
    <t>mph</t>
  </si>
  <si>
    <t>Unit Type Check - Mass</t>
  </si>
  <si>
    <t>Unit Type Check - Volume</t>
  </si>
  <si>
    <t>Unit Type Check - Density</t>
  </si>
  <si>
    <t xml:space="preserve">Unit Type Check - Standard Volume Flow </t>
  </si>
  <si>
    <t>Unit Type Check - Not Recognized</t>
  </si>
  <si>
    <t>Unit Type Check - Length</t>
  </si>
  <si>
    <t>Unit Type Check - Time</t>
  </si>
  <si>
    <t>km/s</t>
  </si>
  <si>
    <t>m/s</t>
  </si>
  <si>
    <t>cm/s</t>
  </si>
  <si>
    <t>mm/s</t>
  </si>
  <si>
    <t>in/s</t>
  </si>
  <si>
    <t>ft/s</t>
  </si>
  <si>
    <t>yd/s</t>
  </si>
  <si>
    <t>mi/s</t>
  </si>
  <si>
    <t>km/min</t>
  </si>
  <si>
    <t>m/min</t>
  </si>
  <si>
    <t>cm/min</t>
  </si>
  <si>
    <t>mm/min</t>
  </si>
  <si>
    <t>in/min</t>
  </si>
  <si>
    <t>ft/min</t>
  </si>
  <si>
    <t>yd/min</t>
  </si>
  <si>
    <t>mi/min</t>
  </si>
  <si>
    <t>km/hr</t>
  </si>
  <si>
    <t>m/hr</t>
  </si>
  <si>
    <t>cm/hr</t>
  </si>
  <si>
    <t>mm/hr</t>
  </si>
  <si>
    <t>in/hr</t>
  </si>
  <si>
    <t>ft/hr</t>
  </si>
  <si>
    <t>yd/hr</t>
  </si>
  <si>
    <t>mi/hr</t>
  </si>
  <si>
    <t>Unit Type Check - Speed</t>
  </si>
  <si>
    <t>VBA per min Case</t>
  </si>
  <si>
    <t>VBA per sec Case</t>
  </si>
  <si>
    <t>VBA per hr Case</t>
  </si>
  <si>
    <t>VBA km Case</t>
  </si>
  <si>
    <t>km Speed Units</t>
  </si>
  <si>
    <t>m Speed Units</t>
  </si>
  <si>
    <t>cm Speed Units</t>
  </si>
  <si>
    <t>VBA m Case</t>
  </si>
  <si>
    <t>VBA cm Case</t>
  </si>
  <si>
    <t>mm Speed Units</t>
  </si>
  <si>
    <t>VBA mm Case</t>
  </si>
  <si>
    <t>in Speed Units</t>
  </si>
  <si>
    <t>VBA in Case</t>
  </si>
  <si>
    <t>ft Speed Units</t>
  </si>
  <si>
    <t>VBA ft Case</t>
  </si>
  <si>
    <t>VBA yd Case</t>
  </si>
  <si>
    <t>VBA mi Case</t>
  </si>
  <si>
    <t>Fluid Speed Convert Check</t>
  </si>
  <si>
    <t>Test Value</t>
  </si>
  <si>
    <t>Temperature Units</t>
  </si>
  <si>
    <t>C</t>
  </si>
  <si>
    <t>°F</t>
  </si>
  <si>
    <t>°C</t>
  </si>
  <si>
    <t>Rank</t>
  </si>
  <si>
    <t>Rankine</t>
  </si>
  <si>
    <t>VBA Fahrenheit Case</t>
  </si>
  <si>
    <t>Fahrenheit Units</t>
  </si>
  <si>
    <t>Celsius Units</t>
  </si>
  <si>
    <t>Kelvin Units</t>
  </si>
  <si>
    <t>Rankine Units</t>
  </si>
  <si>
    <t>VBA Celsius Case</t>
  </si>
  <si>
    <t>VBA Kelvin Case</t>
  </si>
  <si>
    <t>VBA Rankine Case</t>
  </si>
  <si>
    <t>Variable Name</t>
  </si>
  <si>
    <t>from_unit_unit</t>
  </si>
  <si>
    <t>to_unit_unit</t>
  </si>
  <si>
    <t>from unit assignment</t>
  </si>
  <si>
    <t>Pressure Units</t>
  </si>
  <si>
    <t>psig</t>
  </si>
  <si>
    <t>psid</t>
  </si>
  <si>
    <t>lbf/in2</t>
  </si>
  <si>
    <t>lb/in2</t>
  </si>
  <si>
    <t>mmHg</t>
  </si>
  <si>
    <t>atm</t>
  </si>
  <si>
    <t>MPa</t>
  </si>
  <si>
    <t>GPa</t>
  </si>
  <si>
    <t>torr</t>
  </si>
  <si>
    <t>bar</t>
  </si>
  <si>
    <t>Torr</t>
  </si>
  <si>
    <t>psi units</t>
  </si>
  <si>
    <t>ksi</t>
  </si>
  <si>
    <t>Temperature Convert Check</t>
  </si>
  <si>
    <t>Pressure Convert Check</t>
  </si>
  <si>
    <t>Air</t>
  </si>
  <si>
    <t>Upstream Pressure</t>
  </si>
  <si>
    <t>Downstream Pressure</t>
  </si>
  <si>
    <t>Temperature</t>
  </si>
  <si>
    <t>Gas Name</t>
  </si>
  <si>
    <t>Orifice Diameter</t>
  </si>
  <si>
    <t>Discharge Coefficient</t>
  </si>
  <si>
    <t>Orifice Area</t>
  </si>
  <si>
    <t>in2</t>
  </si>
  <si>
    <t>m2</t>
  </si>
  <si>
    <t>ul</t>
  </si>
  <si>
    <t>Orifice Flow Speed</t>
  </si>
  <si>
    <t>Choked Check</t>
  </si>
  <si>
    <t>Area Units</t>
  </si>
  <si>
    <t>km2</t>
  </si>
  <si>
    <t>cm2</t>
  </si>
  <si>
    <t>mm2</t>
  </si>
  <si>
    <t>ft2</t>
  </si>
  <si>
    <t>yd2</t>
  </si>
  <si>
    <t>mi2</t>
  </si>
  <si>
    <t>km^2</t>
  </si>
  <si>
    <t>m^2</t>
  </si>
  <si>
    <t>cm^2</t>
  </si>
  <si>
    <t>mm^2</t>
  </si>
  <si>
    <t>in^2</t>
  </si>
  <si>
    <t>ft^2</t>
  </si>
  <si>
    <t>yd^2</t>
  </si>
  <si>
    <t>mi^2</t>
  </si>
  <si>
    <t>Volume Units</t>
  </si>
  <si>
    <t>km3</t>
  </si>
  <si>
    <t>m3</t>
  </si>
  <si>
    <t>cm3</t>
  </si>
  <si>
    <t>mm3</t>
  </si>
  <si>
    <t>in3</t>
  </si>
  <si>
    <t>ft3</t>
  </si>
  <si>
    <t>yd3</t>
  </si>
  <si>
    <t>mi3</t>
  </si>
  <si>
    <t>km^3</t>
  </si>
  <si>
    <t>m^3</t>
  </si>
  <si>
    <t>cm^3</t>
  </si>
  <si>
    <t>mm^3</t>
  </si>
  <si>
    <t>in^3</t>
  </si>
  <si>
    <t>ft^3</t>
  </si>
  <si>
    <t>yd^3</t>
  </si>
  <si>
    <t>mi^3</t>
  </si>
  <si>
    <t>Moment of Inertia Units</t>
  </si>
  <si>
    <t>km4</t>
  </si>
  <si>
    <t>m4</t>
  </si>
  <si>
    <t>cm4</t>
  </si>
  <si>
    <t>mm4</t>
  </si>
  <si>
    <t>in4</t>
  </si>
  <si>
    <t>ft4</t>
  </si>
  <si>
    <t>yd4</t>
  </si>
  <si>
    <t>mi4</t>
  </si>
  <si>
    <t>km^4</t>
  </si>
  <si>
    <t>m^4</t>
  </si>
  <si>
    <t>cm^4</t>
  </si>
  <si>
    <t>mm^4</t>
  </si>
  <si>
    <t>in^4</t>
  </si>
  <si>
    <t>ft^4</t>
  </si>
  <si>
    <t>yd^4</t>
  </si>
  <si>
    <t>mi^4</t>
  </si>
  <si>
    <t>L</t>
  </si>
  <si>
    <t>ml</t>
  </si>
  <si>
    <t>mL</t>
  </si>
  <si>
    <t>gal</t>
  </si>
  <si>
    <t>Usable Area Unit</t>
  </si>
  <si>
    <t>Area Convert Check</t>
  </si>
  <si>
    <t>Volume Convert Check</t>
  </si>
  <si>
    <t>Moment of Inertia Convert Check</t>
  </si>
  <si>
    <t>Coefficient of Discharge Flow Rate</t>
  </si>
  <si>
    <t>Dimension Name</t>
  </si>
  <si>
    <t>Nominal Dimension</t>
  </si>
  <si>
    <t>Plus Tolerance</t>
  </si>
  <si>
    <t>Minus Tolerance</t>
  </si>
  <si>
    <t>Dimension Type</t>
  </si>
  <si>
    <t>MMC</t>
  </si>
  <si>
    <t>LMC</t>
  </si>
  <si>
    <t>VC</t>
  </si>
  <si>
    <t>RC</t>
  </si>
  <si>
    <t>Test Dim 1</t>
  </si>
  <si>
    <t>RFS Hole</t>
  </si>
  <si>
    <t>MMC Hole</t>
  </si>
  <si>
    <t>LMC Hole</t>
  </si>
  <si>
    <t>RFS Shaft</t>
  </si>
  <si>
    <t>MMC Shaft</t>
  </si>
  <si>
    <t>LMC Shaft</t>
  </si>
  <si>
    <t>Test Dim 2</t>
  </si>
  <si>
    <t>Test Dim 3</t>
  </si>
  <si>
    <t>Test Dim 4</t>
  </si>
  <si>
    <t>Test Dim 5</t>
  </si>
  <si>
    <t>Test Dim 6</t>
  </si>
  <si>
    <t>Positional Tolerance</t>
  </si>
  <si>
    <t>RFS Width</t>
  </si>
  <si>
    <t>MMC Width</t>
  </si>
  <si>
    <t>LMC Width</t>
  </si>
  <si>
    <t>RFS Slot</t>
  </si>
  <si>
    <t>MMC Slot</t>
  </si>
  <si>
    <t>LMC Slot</t>
  </si>
  <si>
    <t>Test Dim 7</t>
  </si>
  <si>
    <t>Test Dim 8</t>
  </si>
  <si>
    <t>Test Dim 9</t>
  </si>
  <si>
    <t>Test Dim 10</t>
  </si>
  <si>
    <t>Test Dim 11</t>
  </si>
  <si>
    <t>Test Dim 12</t>
  </si>
  <si>
    <t>Bolt Major Diameter</t>
  </si>
  <si>
    <t>Bolt Pitch</t>
  </si>
  <si>
    <t>threads/in</t>
  </si>
  <si>
    <t>Minimum Tensile Area</t>
  </si>
  <si>
    <t>Nominal Size and Threads/in</t>
  </si>
  <si>
    <t>Fractional/Number Thread</t>
  </si>
  <si>
    <t>Or Column</t>
  </si>
  <si>
    <t>Decimal Thread</t>
  </si>
  <si>
    <t>Coarse/Fine</t>
  </si>
  <si>
    <t>Thread Class</t>
  </si>
  <si>
    <t>Allowance</t>
  </si>
  <si>
    <t>Major Diameter Max</t>
  </si>
  <si>
    <t>Major Diameter Min</t>
  </si>
  <si>
    <t>Major Diameter Min Note 3</t>
  </si>
  <si>
    <t>Pitch Diameter Max</t>
  </si>
  <si>
    <t>Pitch Diameter Min</t>
  </si>
  <si>
    <t>Pitch Diameter Tolerance</t>
  </si>
  <si>
    <t>UNR Minor Diameter, Max</t>
  </si>
  <si>
    <t>Internal Thread Class</t>
  </si>
  <si>
    <t>Minor Diameter Min</t>
  </si>
  <si>
    <t>Minor Diameter Max</t>
  </si>
  <si>
    <t>0–80</t>
  </si>
  <si>
    <t>or</t>
  </si>
  <si>
    <t>0.060–80</t>
  </si>
  <si>
    <t>UNF</t>
  </si>
  <si>
    <t>2A</t>
  </si>
  <si>
    <t>2B</t>
  </si>
  <si>
    <t>3A</t>
  </si>
  <si>
    <t>3B</t>
  </si>
  <si>
    <t>1–64</t>
  </si>
  <si>
    <t>0.073–64</t>
  </si>
  <si>
    <t>UNC</t>
  </si>
  <si>
    <t>1–72</t>
  </si>
  <si>
    <t>0.073–72</t>
  </si>
  <si>
    <t>2–56</t>
  </si>
  <si>
    <t>0.086–56</t>
  </si>
  <si>
    <t>2–64</t>
  </si>
  <si>
    <t>0.086–64</t>
  </si>
  <si>
    <t>3–48</t>
  </si>
  <si>
    <t>0.099–48</t>
  </si>
  <si>
    <t>3–56</t>
  </si>
  <si>
    <t>0.099–56</t>
  </si>
  <si>
    <t>4–40</t>
  </si>
  <si>
    <t>0.112–40</t>
  </si>
  <si>
    <t>4–48</t>
  </si>
  <si>
    <t>0.112–48</t>
  </si>
  <si>
    <t>5–40</t>
  </si>
  <si>
    <t>0.125–40</t>
  </si>
  <si>
    <t>5–44</t>
  </si>
  <si>
    <t>0.125–44</t>
  </si>
  <si>
    <t>6–32</t>
  </si>
  <si>
    <t>0.138–32</t>
  </si>
  <si>
    <t>6–40</t>
  </si>
  <si>
    <t>0.138–40</t>
  </si>
  <si>
    <t>8-32</t>
  </si>
  <si>
    <t>0.164-32</t>
  </si>
  <si>
    <t>8-36</t>
  </si>
  <si>
    <t>0.164-36</t>
  </si>
  <si>
    <t>10-24</t>
  </si>
  <si>
    <t>0.190-24</t>
  </si>
  <si>
    <t>10-32</t>
  </si>
  <si>
    <t>0.190-32</t>
  </si>
  <si>
    <t>12-24</t>
  </si>
  <si>
    <t>0.216-24</t>
  </si>
  <si>
    <t>12-28</t>
  </si>
  <si>
    <t>0.216-28</t>
  </si>
  <si>
    <t>12-32</t>
  </si>
  <si>
    <t>0.216-32</t>
  </si>
  <si>
    <t>UNEF</t>
  </si>
  <si>
    <t>1⁄4-20</t>
  </si>
  <si>
    <t>0.2500-20</t>
  </si>
  <si>
    <t>1A</t>
  </si>
  <si>
    <t>1B</t>
  </si>
  <si>
    <t>1⁄4-28</t>
  </si>
  <si>
    <t>0.2500-28</t>
  </si>
  <si>
    <t>1⁄4-32</t>
  </si>
  <si>
    <t>0.2500-32</t>
  </si>
  <si>
    <t>5⁄16-18</t>
  </si>
  <si>
    <t>0.3125-18</t>
  </si>
  <si>
    <t>5⁄16-20</t>
  </si>
  <si>
    <t>0.3125-20</t>
  </si>
  <si>
    <t>UN</t>
  </si>
  <si>
    <t>5⁄16-24</t>
  </si>
  <si>
    <t>0.3125-24</t>
  </si>
  <si>
    <t>5⁄16-28</t>
  </si>
  <si>
    <t>0.3125-28</t>
  </si>
  <si>
    <t>5⁄16-32</t>
  </si>
  <si>
    <t>0.3125-32</t>
  </si>
  <si>
    <t>3⁄8-16</t>
  </si>
  <si>
    <t>0.3750-16</t>
  </si>
  <si>
    <t>3⁄8-20</t>
  </si>
  <si>
    <t>0.3750-20</t>
  </si>
  <si>
    <t>3⁄8-24</t>
  </si>
  <si>
    <t>0.3750-24</t>
  </si>
  <si>
    <t>3⁄8-28</t>
  </si>
  <si>
    <t>0.3750-28</t>
  </si>
  <si>
    <t>3⁄8-32</t>
  </si>
  <si>
    <t>0.3750-32</t>
  </si>
  <si>
    <t>7⁄16-14</t>
  </si>
  <si>
    <t>0.4375-14</t>
  </si>
  <si>
    <t>7⁄16-16</t>
  </si>
  <si>
    <t>0.4375-16</t>
  </si>
  <si>
    <t>7⁄16-20</t>
  </si>
  <si>
    <t>0.4375-20</t>
  </si>
  <si>
    <t>7⁄16-28</t>
  </si>
  <si>
    <t>0.4375-28</t>
  </si>
  <si>
    <t>7⁄16-32</t>
  </si>
  <si>
    <t>0.4375-32</t>
  </si>
  <si>
    <t>1⁄2-13</t>
  </si>
  <si>
    <t>0.5000-13</t>
  </si>
  <si>
    <t>1⁄2-16</t>
  </si>
  <si>
    <t>0.5000-16</t>
  </si>
  <si>
    <t>1⁄2-20</t>
  </si>
  <si>
    <t>0.5000-20</t>
  </si>
  <si>
    <t>1⁄2-28</t>
  </si>
  <si>
    <t>0.5000-28</t>
  </si>
  <si>
    <t>1⁄2-32</t>
  </si>
  <si>
    <t>0.5000-32</t>
  </si>
  <si>
    <t>9⁄16-12</t>
  </si>
  <si>
    <t>0.5625-12</t>
  </si>
  <si>
    <t>9⁄16-16</t>
  </si>
  <si>
    <t>0.5625-16</t>
  </si>
  <si>
    <t>9⁄16-18</t>
  </si>
  <si>
    <t>0.5625-18</t>
  </si>
  <si>
    <t>9⁄16-20</t>
  </si>
  <si>
    <t>0.5625-20</t>
  </si>
  <si>
    <t>9⁄16-24</t>
  </si>
  <si>
    <t>0.5625-24</t>
  </si>
  <si>
    <t>Bolt Thread Name</t>
  </si>
  <si>
    <t>1⁄4-20 or 0.2500-20 UNC CLASS 3</t>
  </si>
  <si>
    <t>Plate 1</t>
  </si>
  <si>
    <t>Plate 2</t>
  </si>
  <si>
    <t>Plate 3</t>
  </si>
  <si>
    <t>Elastic Modulus (psi)</t>
  </si>
  <si>
    <t>Plate Thicknesses (in)</t>
  </si>
  <si>
    <t>L Test</t>
  </si>
  <si>
    <t>Ej Test</t>
  </si>
  <si>
    <t>Kj Test</t>
  </si>
  <si>
    <t>lbf/in</t>
  </si>
  <si>
    <t>Steel E Approx</t>
  </si>
  <si>
    <t>Al E Approx</t>
  </si>
  <si>
    <t>n Test</t>
  </si>
  <si>
    <t>Bolt Stiffness Test</t>
  </si>
  <si>
    <t>Bolt Elastic Modulus</t>
  </si>
  <si>
    <t>Bolt Area</t>
  </si>
  <si>
    <t>Bolt Grip Length</t>
  </si>
  <si>
    <t>Circular Rod Stiffness Test</t>
  </si>
  <si>
    <t>Stiffness Factor Test</t>
  </si>
  <si>
    <t>Countersunk Head Height</t>
  </si>
  <si>
    <t>Effective Countersunk Head Diameter</t>
  </si>
  <si>
    <t>Countersunk Head Diameter</t>
  </si>
  <si>
    <t>n test</t>
  </si>
  <si>
    <t>Insert Length</t>
  </si>
  <si>
    <t>Configuration 1 - Through Bolt with Nut</t>
  </si>
  <si>
    <t>Configuration 2 - Countersunk bolt with nut</t>
  </si>
  <si>
    <t>Configuration 3 - Through bolt with insert</t>
  </si>
  <si>
    <t>Configuration 4 countersunk bolt with insert</t>
  </si>
  <si>
    <t>L test</t>
  </si>
  <si>
    <t>Torque</t>
  </si>
  <si>
    <t>Torque Uncertainty</t>
  </si>
  <si>
    <t>in-lb</t>
  </si>
  <si>
    <t>lbf</t>
  </si>
  <si>
    <t>Initial Preload Test Max</t>
  </si>
  <si>
    <t>Initial Preload Test Min</t>
  </si>
  <si>
    <t>Initial Preload Test Nominal</t>
  </si>
  <si>
    <t>External Load</t>
  </si>
  <si>
    <t>Category 1 Bolt Load from External Load Test</t>
  </si>
  <si>
    <t>First Chart</t>
  </si>
  <si>
    <t>Nominal Size Dash No.</t>
  </si>
  <si>
    <t>Thread Size</t>
  </si>
  <si>
    <t>Body Diameter Max</t>
  </si>
  <si>
    <t>Head Diameter Max</t>
  </si>
  <si>
    <t>Head Diameter Min</t>
  </si>
  <si>
    <t>Head Height Max</t>
  </si>
  <si>
    <t>Head Height Min</t>
  </si>
  <si>
    <t>Head Side Height Min</t>
  </si>
  <si>
    <t>Nominal Socket Size</t>
  </si>
  <si>
    <t>Key Engagement Min</t>
  </si>
  <si>
    <t>Wall Thickness Min</t>
  </si>
  <si>
    <t>Chamfer or Radius Max</t>
  </si>
  <si>
    <t>01</t>
  </si>
  <si>
    <t>02</t>
  </si>
  <si>
    <t>03</t>
  </si>
  <si>
    <t>04</t>
  </si>
  <si>
    <t>06</t>
  </si>
  <si>
    <t>08</t>
  </si>
  <si>
    <t>3</t>
  </si>
  <si>
    <t>4</t>
  </si>
  <si>
    <t>5</t>
  </si>
  <si>
    <t>6</t>
  </si>
  <si>
    <t>7</t>
  </si>
  <si>
    <t>8</t>
  </si>
  <si>
    <t>10</t>
  </si>
  <si>
    <t>12</t>
  </si>
  <si>
    <t>14</t>
  </si>
  <si>
    <t>16</t>
  </si>
  <si>
    <t>20</t>
  </si>
  <si>
    <t>24</t>
  </si>
  <si>
    <t>1–64 or 0.073–64 UNC CLASS 3</t>
  </si>
  <si>
    <t>2–56 or 0.086–56 UNC CLASS 3</t>
  </si>
  <si>
    <t>3–48 or 0.099–48 UNC CLASS 3</t>
  </si>
  <si>
    <t>4–40 or 0.112–40 UNC CLASS 3</t>
  </si>
  <si>
    <t>6–32 or 0.138–32 UNC CLASS 3</t>
  </si>
  <si>
    <t>8-32 or 0.164-32 UNC CLASS 3</t>
  </si>
  <si>
    <t>10-24 or 0.190-24 UNC CLASS 3</t>
  </si>
  <si>
    <t>5⁄16-18 or 0.3125-18 UNC CLASS 3</t>
  </si>
  <si>
    <t>3⁄8-16 or 0.3750-16 UNC CLASS 3</t>
  </si>
  <si>
    <t>7⁄16-14 or 0.4375-14 UNC CLASS 3</t>
  </si>
  <si>
    <t>1⁄2-13 or 0.5000-13 UNC CLASS 3</t>
  </si>
  <si>
    <t>5/8-11 UNC CLASS 3</t>
  </si>
  <si>
    <t>3/4-10 UNC CLASS 3</t>
  </si>
  <si>
    <t>7/8-9 UNC CLASS 3</t>
  </si>
  <si>
    <t>1-8 UNC CLASS 3</t>
  </si>
  <si>
    <t>1 1/4 UNC CLASS 3</t>
  </si>
  <si>
    <t>1 1/2 UNC CLASS 3</t>
  </si>
  <si>
    <t>Minimum Basic Thread Length</t>
  </si>
  <si>
    <t>Drilled Hole Location Max</t>
  </si>
  <si>
    <t>Drilled Hole Location Min</t>
  </si>
  <si>
    <t>Drilled Hole Diameter Max</t>
  </si>
  <si>
    <t>Drilled Hole Diameter Min</t>
  </si>
  <si>
    <t>Alloy Steel Minimum Breaking Strength (lb)</t>
  </si>
  <si>
    <t>Corrosion Resistant Steel Minimum Breaking Strength (lb)</t>
  </si>
  <si>
    <t>Heat Resistant Steel Minimum Breaking Strength (lb)</t>
  </si>
  <si>
    <t>Body Diameter Max2</t>
  </si>
  <si>
    <t>Part Number</t>
  </si>
  <si>
    <t>NAS1352-01*2</t>
  </si>
  <si>
    <t>NAS1352-01*3</t>
  </si>
  <si>
    <t>NAS1352-01*4</t>
  </si>
  <si>
    <t>NAS1352-01*6</t>
  </si>
  <si>
    <t>NAS1352-02*3</t>
  </si>
  <si>
    <t>NAS1352-02*4</t>
  </si>
  <si>
    <t>NAS1352-02*6</t>
  </si>
  <si>
    <t>NAS1352-02*8</t>
  </si>
  <si>
    <t>NAS1352-03*4</t>
  </si>
  <si>
    <t>NAS1352-03*6</t>
  </si>
  <si>
    <t>NAS1352-03*8</t>
  </si>
  <si>
    <t>NAS1352-03*10</t>
  </si>
  <si>
    <t>NAS1352-04*4</t>
  </si>
  <si>
    <t>NAS1352-04*6</t>
  </si>
  <si>
    <t>NAS1352-04*8</t>
  </si>
  <si>
    <t>NAS1352-04*10</t>
  </si>
  <si>
    <t>NAS1352-04*12</t>
  </si>
  <si>
    <t>NAS1352-06*4</t>
  </si>
  <si>
    <t>NAS1352-06*6</t>
  </si>
  <si>
    <t>NAS1352-06*8</t>
  </si>
  <si>
    <t>NAS1352-06*10</t>
  </si>
  <si>
    <t>NAS1352-06*12</t>
  </si>
  <si>
    <t>NAS1352-06*14</t>
  </si>
  <si>
    <t>NAS1352-06*16</t>
  </si>
  <si>
    <t>NAS1352-08*4</t>
  </si>
  <si>
    <t>NAS1352-08*6</t>
  </si>
  <si>
    <t>NAS1352-08*8</t>
  </si>
  <si>
    <t>NAS1352-08*10</t>
  </si>
  <si>
    <t>NAS1352-08*12</t>
  </si>
  <si>
    <t>NAS1352-08*14</t>
  </si>
  <si>
    <t>NAS1352-08*16</t>
  </si>
  <si>
    <t>NAS1352-08*20</t>
  </si>
  <si>
    <t>NAS1352-08*24</t>
  </si>
  <si>
    <t>NAS1352-3*6</t>
  </si>
  <si>
    <t>NAS1352-3*8</t>
  </si>
  <si>
    <t>NAS1352-3*10</t>
  </si>
  <si>
    <t>NAS1352-3*12</t>
  </si>
  <si>
    <t>NAS1352-3*14</t>
  </si>
  <si>
    <t>NAS1352-3*16</t>
  </si>
  <si>
    <t>NAS1352-3*20</t>
  </si>
  <si>
    <t>NAS1352-3*24</t>
  </si>
  <si>
    <t>NAS1352-3*28</t>
  </si>
  <si>
    <t>NAS1352-3*32</t>
  </si>
  <si>
    <t>NAS1352-4*6</t>
  </si>
  <si>
    <t>NAS1352-4*8</t>
  </si>
  <si>
    <t>NAS1352-4*10</t>
  </si>
  <si>
    <t>NAS1352-4*12</t>
  </si>
  <si>
    <t>NAS1352-4*14</t>
  </si>
  <si>
    <t>NAS1352-4*16</t>
  </si>
  <si>
    <t>NAS1352-4*20</t>
  </si>
  <si>
    <t>NAS1352-4*24</t>
  </si>
  <si>
    <t>NAS1352-4*28</t>
  </si>
  <si>
    <t>NAS1352-4*32</t>
  </si>
  <si>
    <t>NAS1352-4*36</t>
  </si>
  <si>
    <t>NAS1352-5*6</t>
  </si>
  <si>
    <t>NAS1352-5*8</t>
  </si>
  <si>
    <t>NAS1352-5*10</t>
  </si>
  <si>
    <t>NAS1352-5*12</t>
  </si>
  <si>
    <t>NAS1352-5*14</t>
  </si>
  <si>
    <t>NAS1352-5*16</t>
  </si>
  <si>
    <t>NAS1352-5*20</t>
  </si>
  <si>
    <t>NAS1352-5*24</t>
  </si>
  <si>
    <t>NAS1352-5*28</t>
  </si>
  <si>
    <t>NAS1352-5*32</t>
  </si>
  <si>
    <t>NAS1352-5*36</t>
  </si>
  <si>
    <t>NAS1352-5*40</t>
  </si>
  <si>
    <t>NAS1352-6*8</t>
  </si>
  <si>
    <t>NAS1352-6*10</t>
  </si>
  <si>
    <t>NAS1352-6*12</t>
  </si>
  <si>
    <t>NAS1352-6*14</t>
  </si>
  <si>
    <t>NAS1352-6*16</t>
  </si>
  <si>
    <t>NAS1352-6*20</t>
  </si>
  <si>
    <t>NAS1352-6*24</t>
  </si>
  <si>
    <t>NAS1352-6*28</t>
  </si>
  <si>
    <t>NAS1352-6*32</t>
  </si>
  <si>
    <t>NAS1352-6*36</t>
  </si>
  <si>
    <t>NAS1352-6*40</t>
  </si>
  <si>
    <t>NAS1352-6*44</t>
  </si>
  <si>
    <t>NAS1352-6*48</t>
  </si>
  <si>
    <t>NAS1352-7*12</t>
  </si>
  <si>
    <t>NAS1352-7*14</t>
  </si>
  <si>
    <t>NAS1352-7*16</t>
  </si>
  <si>
    <t>NAS1352-7*20</t>
  </si>
  <si>
    <t>NAS1352-7*24</t>
  </si>
  <si>
    <t>NAS1352-7*28</t>
  </si>
  <si>
    <t>NAS1352-7*32</t>
  </si>
  <si>
    <t>NAS1352-7*36</t>
  </si>
  <si>
    <t>NAS1352-7*40</t>
  </si>
  <si>
    <t>NAS1352-7*44</t>
  </si>
  <si>
    <t>NAS1352-7*48</t>
  </si>
  <si>
    <t>NAS1352-8*12</t>
  </si>
  <si>
    <t>NAS1352-8*14</t>
  </si>
  <si>
    <t>NAS1352-8*16</t>
  </si>
  <si>
    <t>NAS1352-8*20</t>
  </si>
  <si>
    <t>NAS1352-8*24</t>
  </si>
  <si>
    <t>NAS1352-8*28</t>
  </si>
  <si>
    <t>NAS1352-8*32</t>
  </si>
  <si>
    <t>NAS1352-8*36</t>
  </si>
  <si>
    <t>NAS1352-8*40</t>
  </si>
  <si>
    <t>NAS1352-8*44</t>
  </si>
  <si>
    <t>NAS1352-8*48</t>
  </si>
  <si>
    <t>NAS1352-10*16</t>
  </si>
  <si>
    <t>NAS1352-10*20</t>
  </si>
  <si>
    <t>NAS1352-10*24</t>
  </si>
  <si>
    <t>NAS1352-10*28</t>
  </si>
  <si>
    <t>NAS1352-10*32</t>
  </si>
  <si>
    <t>NAS1352-10*36</t>
  </si>
  <si>
    <t>NAS1352-10*40</t>
  </si>
  <si>
    <t>NAS1352-10*44</t>
  </si>
  <si>
    <t>NAS1352-10*48</t>
  </si>
  <si>
    <t>NAS1352-12*24</t>
  </si>
  <si>
    <t>NAS1352-12*28</t>
  </si>
  <si>
    <t>NAS1352-12*32</t>
  </si>
  <si>
    <t>NAS1352-12*36</t>
  </si>
  <si>
    <t>NAS1352-12*40</t>
  </si>
  <si>
    <t>NAS1352-12*44</t>
  </si>
  <si>
    <t>NAS1352-12*48</t>
  </si>
  <si>
    <t>NAS1352-12*52</t>
  </si>
  <si>
    <t>NAS1352-12*56</t>
  </si>
  <si>
    <t>NAS1352-14*32</t>
  </si>
  <si>
    <t>NAS1352-14*36</t>
  </si>
  <si>
    <t>NAS1352-14*40</t>
  </si>
  <si>
    <t>NAS1352-14*44</t>
  </si>
  <si>
    <t>NAS1352-14*48</t>
  </si>
  <si>
    <t>NAS1352-14*52</t>
  </si>
  <si>
    <t>NAS1352-14*56</t>
  </si>
  <si>
    <t>NAS1352-14*64</t>
  </si>
  <si>
    <t>NAS1352-14*72</t>
  </si>
  <si>
    <t>NAS1352-16*40</t>
  </si>
  <si>
    <t>NAS1352-16*44</t>
  </si>
  <si>
    <t>NAS1352-16*48</t>
  </si>
  <si>
    <t>NAS1352-16*52</t>
  </si>
  <si>
    <t>NAS1352-16*56</t>
  </si>
  <si>
    <t>NAS1352-16*64</t>
  </si>
  <si>
    <t>NAS1352-16*72</t>
  </si>
  <si>
    <t>NAS1352-16*80</t>
  </si>
  <si>
    <t>NAS1352-20*48</t>
  </si>
  <si>
    <t>NAS1352-20*52</t>
  </si>
  <si>
    <t>NAS1352-20*56</t>
  </si>
  <si>
    <t>NAS1352-20*64</t>
  </si>
  <si>
    <t>NAS1352-20*72</t>
  </si>
  <si>
    <t>NAS1352-20*80</t>
  </si>
  <si>
    <t>NAS1352-20*88</t>
  </si>
  <si>
    <t>NAS1352-20*96</t>
  </si>
  <si>
    <t>NAS1352-24*56</t>
  </si>
  <si>
    <t>NAS1352-24*64</t>
  </si>
  <si>
    <t>NAS1352-24*72</t>
  </si>
  <si>
    <t>NAS1352-24*80</t>
  </si>
  <si>
    <t>NAS1352-24*88</t>
  </si>
  <si>
    <t>NAS1352-24*96</t>
  </si>
  <si>
    <t>Maximum Length</t>
  </si>
  <si>
    <t>Dash Number</t>
  </si>
  <si>
    <t>NAS1352 Bolt Part Number</t>
  </si>
  <si>
    <t>NutFactor (Most Preload)</t>
  </si>
  <si>
    <t>NutFactor (Least Preload)</t>
  </si>
  <si>
    <t>Pressurized Diameter</t>
  </si>
  <si>
    <t>PPRV</t>
  </si>
  <si>
    <t>Plate 2 (needs to just be the thread engagement depth)</t>
  </si>
  <si>
    <t>Thread Engagement</t>
  </si>
  <si>
    <t>Effective Grip Length</t>
  </si>
  <si>
    <t>Joint Elastic Modulus</t>
  </si>
  <si>
    <t>Joint Stiffness</t>
  </si>
  <si>
    <t>n Factor</t>
  </si>
  <si>
    <t>Pressurized Area</t>
  </si>
  <si>
    <t>Internal Pressure</t>
  </si>
  <si>
    <t>Threads Per Inch</t>
  </si>
  <si>
    <t>Bolt Stiffness</t>
  </si>
  <si>
    <t>Stiffness Factor</t>
  </si>
  <si>
    <t>External Load Bolt Load</t>
  </si>
  <si>
    <t>Safety Factor</t>
  </si>
  <si>
    <t>Bolt Tension Margin of Safety</t>
  </si>
  <si>
    <t>Bolt Ultimate Tensile Strength</t>
  </si>
  <si>
    <t>Bolt Ultimate Shear Strength</t>
  </si>
  <si>
    <t>Internal Thread Minor Diameter Max</t>
  </si>
  <si>
    <t>External Major Diameter Min</t>
  </si>
  <si>
    <t>Maximum Allowable Bolt Thread Shear Load</t>
  </si>
  <si>
    <t>Maximum Allowable Bolt Tensile Load</t>
  </si>
  <si>
    <t>Design Bolt Load</t>
  </si>
  <si>
    <t>Minimum Bolt Thread Shear Area (Pull Out)</t>
  </si>
  <si>
    <t>Minimum Parent Material Thread Shear Area</t>
  </si>
  <si>
    <t>Plate Ultimate Tensile Strength</t>
  </si>
  <si>
    <t>Plate Ultimate Shear Strength</t>
  </si>
  <si>
    <t>Maximum Allowable Parent Material Shear Load</t>
  </si>
  <si>
    <t>Parent Material Thread Shear Margin of Safety</t>
  </si>
  <si>
    <t>Bolt Thread Shear Margin of Safety</t>
  </si>
  <si>
    <t>Configuration 3 - Bolt with Insert/Internal Threads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</si>
</sst>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000"/>
    <numFmt numFmtId="167" formatCode="0.0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164" fontId="0" fillId="0" borderId="0" xfId="0" applyNumberFormat="1"/>
    <xf numFmtId="1" fontId="0" fillId="0" borderId="0" xfId="0" applyNumberFormat="1"/>
    <xf numFmtId="2" fontId="0" fillId="0" borderId="0" xfId="0" applyNumberFormat="1"/>
    <xf numFmtId="11" fontId="0" fillId="0" borderId="0" xfId="0" applyNumberFormat="1"/>
    <xf numFmtId="165" fontId="0" fillId="0" borderId="0" xfId="0" applyNumberFormat="1"/>
    <xf numFmtId="17" fontId="0" fillId="0" borderId="0" xfId="0" quotePrefix="1" applyNumberFormat="1"/>
    <xf numFmtId="16" fontId="0" fillId="0" borderId="0" xfId="0" quotePrefix="1" applyNumberFormat="1"/>
    <xf numFmtId="0" fontId="0" fillId="0" borderId="1" xfId="0" applyBorder="1"/>
    <xf numFmtId="1" fontId="0" fillId="0" borderId="1" xfId="0" applyNumberFormat="1" applyBorder="1"/>
    <xf numFmtId="166" fontId="0" fillId="0" borderId="1" xfId="0" applyNumberFormat="1" applyBorder="1"/>
    <xf numFmtId="167" fontId="0" fillId="0" borderId="1" xfId="0" applyNumberFormat="1" applyBorder="1"/>
    <xf numFmtId="2" fontId="0" fillId="0" borderId="1" xfId="0" applyNumberFormat="1" applyBorder="1"/>
    <xf numFmtId="164" fontId="0" fillId="0" borderId="1" xfId="0" applyNumberFormat="1" applyBorder="1"/>
    <xf numFmtId="0" fontId="0" fillId="0" borderId="1" xfId="0" quotePrefix="1" applyBorder="1"/>
    <xf numFmtId="0" fontId="0" fillId="0" borderId="2" xfId="0" applyBorder="1"/>
    <xf numFmtId="0" fontId="0" fillId="0" borderId="2" xfId="0" quotePrefix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quotePrefix="1" applyBorder="1"/>
    <xf numFmtId="0" fontId="0" fillId="0" borderId="8" xfId="0" quotePrefix="1" applyBorder="1"/>
    <xf numFmtId="0" fontId="0" fillId="0" borderId="8" xfId="0" applyBorder="1"/>
    <xf numFmtId="0" fontId="0" fillId="0" borderId="9" xfId="0" applyBorder="1"/>
    <xf numFmtId="0" fontId="0" fillId="0" borderId="7" xfId="0" applyBorder="1"/>
    <xf numFmtId="0" fontId="2" fillId="2" borderId="1" xfId="0" applyFont="1" applyFill="1" applyBorder="1"/>
    <xf numFmtId="0" fontId="2" fillId="3" borderId="4" xfId="0" applyFont="1" applyFill="1" applyBorder="1"/>
    <xf numFmtId="0" fontId="2" fillId="3" borderId="5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165" fontId="0" fillId="0" borderId="1" xfId="0" applyNumberFormat="1" applyBorder="1"/>
    <xf numFmtId="11" fontId="0" fillId="0" borderId="1" xfId="0" applyNumberFormat="1" applyBorder="1"/>
    <xf numFmtId="0" fontId="0" fillId="4" borderId="1" xfId="0" applyFill="1" applyBorder="1"/>
    <xf numFmtId="164" fontId="0" fillId="4" borderId="1" xfId="0" applyNumberFormat="1" applyFill="1" applyBorder="1"/>
    <xf numFmtId="0" fontId="0" fillId="5" borderId="1" xfId="0" applyFill="1" applyBorder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7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D81577-C392-4187-9843-0E0307B5E19F}" name="NAS1352First" displayName="NAS1352First" ref="A2:U21" totalsRowCount="1" headerRowDxfId="72" dataDxfId="70" headerRowBorderDxfId="71" tableBorderDxfId="69" totalsRowBorderDxfId="68">
  <autoFilter ref="A2:U20" xr:uid="{90D81577-C392-4187-9843-0E0307B5E19F}"/>
  <tableColumns count="21">
    <tableColumn id="1" xr3:uid="{3C336A4B-4028-4D03-8361-99FB9E866AD2}" name="Nominal Size Dash No." dataDxfId="67" totalsRowDxfId="66"/>
    <tableColumn id="2" xr3:uid="{23AFBDF8-12F8-4839-A792-C8BD81C76CD2}" name="Thread Size" dataDxfId="65" totalsRowDxfId="64"/>
    <tableColumn id="3" xr3:uid="{E116F7DE-95F6-411E-A63F-D89173797148}" name="Body Diameter Max" dataDxfId="63" totalsRowDxfId="62"/>
    <tableColumn id="4" xr3:uid="{46810157-6741-4077-96FE-55A87C6E6AAC}" name="Body Diameter Max2" dataDxfId="61" totalsRowDxfId="60"/>
    <tableColumn id="5" xr3:uid="{222D7601-C061-48A5-AB08-24A885E4E5EC}" name="Head Diameter Max" dataDxfId="59"/>
    <tableColumn id="6" xr3:uid="{DDD1DEFC-D04C-492D-9EC6-73D5FF2E0B44}" name="Head Diameter Min" totalsRowFunction="custom" dataDxfId="58" totalsRowDxfId="57">
      <totalsRowFormula array="1">Read_NAS1352()</totalsRowFormula>
    </tableColumn>
    <tableColumn id="7" xr3:uid="{92C70622-9D4B-4EE7-B555-8A272CCFCE50}" name="Head Height Max" dataDxfId="56" totalsRowDxfId="55"/>
    <tableColumn id="8" xr3:uid="{98D2216B-A213-4019-BF3F-A689C64DB798}" name="Head Height Min" dataDxfId="54" totalsRowDxfId="53"/>
    <tableColumn id="9" xr3:uid="{C3949440-F3C1-4F8D-A345-529BACCE2B77}" name="Head Side Height Min" dataDxfId="52" totalsRowDxfId="51"/>
    <tableColumn id="10" xr3:uid="{9AFA5B5A-8049-42AC-BA35-AAD10B9CA127}" name="Nominal Socket Size" dataDxfId="50" totalsRowDxfId="49"/>
    <tableColumn id="11" xr3:uid="{BEF045F5-90ED-46D7-91F5-F1B947983CBB}" name="Key Engagement Min" dataDxfId="48" totalsRowDxfId="47"/>
    <tableColumn id="12" xr3:uid="{A61E6113-FEED-4FD1-A1F6-8D06BD10BD70}" name="Wall Thickness Min" dataDxfId="46" totalsRowDxfId="45"/>
    <tableColumn id="13" xr3:uid="{30544070-F700-4626-BC72-7F5475A7F849}" name="Chamfer or Radius Max" dataDxfId="44" totalsRowDxfId="43"/>
    <tableColumn id="14" xr3:uid="{DFA5AAE9-8465-4C4F-B7E6-09058371FFF5}" name="Minimum Basic Thread Length" dataDxfId="42" totalsRowDxfId="41"/>
    <tableColumn id="15" xr3:uid="{32F0BA15-CE0C-4EF4-BDAA-1A60B1AD45FB}" name="Drilled Hole Location Max" dataDxfId="40" totalsRowDxfId="39"/>
    <tableColumn id="16" xr3:uid="{322C3AA0-1267-4C12-B80C-C3C6A134E421}" name="Drilled Hole Location Min" dataDxfId="38" totalsRowDxfId="37"/>
    <tableColumn id="17" xr3:uid="{2360A92B-9D8B-486E-B643-6701725F4715}" name="Drilled Hole Diameter Max" dataDxfId="36" totalsRowDxfId="35"/>
    <tableColumn id="18" xr3:uid="{F34FC3B2-590A-44A7-A3D0-68484181A0D5}" name="Drilled Hole Diameter Min" dataDxfId="34" totalsRowDxfId="33"/>
    <tableColumn id="19" xr3:uid="{ADAAFD1A-F72B-456F-A8F6-F6783A92AA0C}" name="Alloy Steel Minimum Breaking Strength (lb)" dataDxfId="32" totalsRowDxfId="31"/>
    <tableColumn id="20" xr3:uid="{0CA7FD16-46DD-4E9F-911B-1AAF90C53062}" name="Corrosion Resistant Steel Minimum Breaking Strength (lb)" dataDxfId="30" totalsRowDxfId="29"/>
    <tableColumn id="21" xr3:uid="{C649650B-6F4A-4CAF-9892-4CA1D6BB40A0}" name="Heat Resistant Steel Minimum Breaking Strength (lb)" dataDxfId="28" totalsRow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0262161-FAAB-4F17-9970-932FFA45325E}" name="NAS1352values" displayName="NAS1352values" ref="A22:W172" totalsRowShown="0" headerRowDxfId="26" headerRowBorderDxfId="25" tableBorderDxfId="24" totalsRowBorderDxfId="23">
  <autoFilter ref="A22:W172" xr:uid="{70262161-FAAB-4F17-9970-932FFA45325E}"/>
  <tableColumns count="23">
    <tableColumn id="1" xr3:uid="{ACB8EF3C-0BBC-4A49-98CE-0382E2A6C5AD}" name="Part Number" dataDxfId="22"/>
    <tableColumn id="2" xr3:uid="{31AA246B-1714-41D7-82F0-C19397B1E419}" name="Dash Number" dataDxfId="21">
      <calculatedColumnFormula>LEFT(RIGHT(A23,LEN(A23)-SEARCH("-",A23)),SEARCH("~*",RIGHT(A23,LEN(A23)-SEARCH("-",A23)))-1)</calculatedColumnFormula>
    </tableColumn>
    <tableColumn id="3" xr3:uid="{A7A33F7F-57F3-4FA3-A402-AED0DB4970E0}" name="Maximum Length" dataDxfId="20">
      <calculatedColumnFormula>_xlfn.NUMBERVALUE(RIGHT(A23,LEN(A23)-SEARCH("~*",A23)))/16</calculatedColumnFormula>
    </tableColumn>
    <tableColumn id="4" xr3:uid="{60AD4FFC-8224-4BF8-97B2-D2AAB0C00957}" name="Thread Size" dataDxfId="19">
      <calculatedColumnFormula array="1">VLOOKUP($B23,NAS1352First[],COLUMN(NAS1352First[Thread Size]),FALSE)</calculatedColumnFormula>
    </tableColumn>
    <tableColumn id="5" xr3:uid="{71825B5D-B7D7-4AA3-8347-246FDADAA929}" name="Body Diameter Max" dataDxfId="18">
      <calculatedColumnFormula array="1">VLOOKUP($B23,NAS1352First[],COLUMN(NAS1352First[Body Diameter Max]),FALSE)</calculatedColumnFormula>
    </tableColumn>
    <tableColumn id="6" xr3:uid="{893DE015-F558-4A0C-AF9E-B647FADB51B8}" name="Body Diameter Max2" dataDxfId="17">
      <calculatedColumnFormula array="1">VLOOKUP($B23,NAS1352First[],COLUMN(NAS1352First[Body Diameter Max2]),FALSE)</calculatedColumnFormula>
    </tableColumn>
    <tableColumn id="7" xr3:uid="{34987662-0338-47FB-8EAD-E2420AB7DF9C}" name="Head Diameter Max" dataDxfId="16">
      <calculatedColumnFormula array="1">VLOOKUP($B23,NAS1352First[],COLUMN(NAS1352First[Head Diameter Max]),FALSE)</calculatedColumnFormula>
    </tableColumn>
    <tableColumn id="8" xr3:uid="{0AF826F7-CA7B-47DB-897F-33983D2D95A5}" name="Head Diameter Min" dataDxfId="15">
      <calculatedColumnFormula array="1">VLOOKUP($B23,NAS1352First[],COLUMN(NAS1352First[Head Diameter Min]),FALSE)</calculatedColumnFormula>
    </tableColumn>
    <tableColumn id="9" xr3:uid="{87812B79-4ABD-49D8-92E9-3C9E443E991B}" name="Head Height Max" dataDxfId="14">
      <calculatedColumnFormula array="1">VLOOKUP($B23,NAS1352First[],COLUMN(NAS1352First[Head Height Max]),FALSE)</calculatedColumnFormula>
    </tableColumn>
    <tableColumn id="10" xr3:uid="{6079740D-34A9-4724-9A3C-746CA1263F87}" name="Head Height Min" dataDxfId="13">
      <calculatedColumnFormula array="1">VLOOKUP($B23,NAS1352First[],COLUMN(NAS1352First[Head Height Min]),FALSE)</calculatedColumnFormula>
    </tableColumn>
    <tableColumn id="11" xr3:uid="{B3CA4E47-7DFA-47BA-87AF-A03D72650192}" name="Head Side Height Min" dataDxfId="12">
      <calculatedColumnFormula array="1">VLOOKUP($B23,NAS1352First[],COLUMN(NAS1352First[Head Side Height Min]),FALSE)</calculatedColumnFormula>
    </tableColumn>
    <tableColumn id="12" xr3:uid="{91417522-2311-4BBD-8661-9400A8CE8A2A}" name="Nominal Socket Size" dataDxfId="11">
      <calculatedColumnFormula array="1">VLOOKUP($B23,NAS1352First[],COLUMN(NAS1352First[Nominal Socket Size]),FALSE)</calculatedColumnFormula>
    </tableColumn>
    <tableColumn id="13" xr3:uid="{356477BF-5BE6-43E5-8AF0-D0868A915BC6}" name="Key Engagement Min" dataDxfId="10">
      <calculatedColumnFormula array="1">VLOOKUP($B23,NAS1352First[],COLUMN(NAS1352First[Key Engagement Min]),FALSE)</calculatedColumnFormula>
    </tableColumn>
    <tableColumn id="14" xr3:uid="{5D60DB08-83C9-430C-968C-F5457B3934CC}" name="Wall Thickness Min" dataDxfId="9">
      <calculatedColumnFormula array="1">VLOOKUP($B23,NAS1352First[],COLUMN(NAS1352First[Wall Thickness Min]),FALSE)</calculatedColumnFormula>
    </tableColumn>
    <tableColumn id="15" xr3:uid="{16FDAFE0-BCA0-4AD4-B71D-F6079E481C79}" name="Chamfer or Radius Max" dataDxfId="8">
      <calculatedColumnFormula array="1">VLOOKUP($B23,NAS1352First[],COLUMN(NAS1352First[Chamfer or Radius Max]),FALSE)</calculatedColumnFormula>
    </tableColumn>
    <tableColumn id="16" xr3:uid="{50A0849F-7A5B-4BE0-BF4A-9D297FBA12E1}" name="Minimum Basic Thread Length" dataDxfId="7">
      <calculatedColumnFormula array="1">VLOOKUP($B23,NAS1352First[],COLUMN(NAS1352First[Minimum Basic Thread Length]),FALSE)</calculatedColumnFormula>
    </tableColumn>
    <tableColumn id="17" xr3:uid="{5DA2D36B-0833-41C6-B884-9466FA0DCE63}" name="Drilled Hole Location Max" dataDxfId="6">
      <calculatedColumnFormula array="1">VLOOKUP($B23,NAS1352First[],COLUMN(NAS1352First[Drilled Hole Location Max]),FALSE)</calculatedColumnFormula>
    </tableColumn>
    <tableColumn id="18" xr3:uid="{0CD3E056-F46B-459E-977D-A2370EF11D75}" name="Drilled Hole Location Min" dataDxfId="5">
      <calculatedColumnFormula array="1">VLOOKUP($B23,NAS1352First[],COLUMN(NAS1352First[Drilled Hole Location Min]),FALSE)</calculatedColumnFormula>
    </tableColumn>
    <tableColumn id="19" xr3:uid="{EBCB5429-CD80-41B0-B929-9999356C4237}" name="Drilled Hole Diameter Max" dataDxfId="4">
      <calculatedColumnFormula array="1">VLOOKUP($B23,NAS1352First[],COLUMN(NAS1352First[Drilled Hole Diameter Max]),FALSE)</calculatedColumnFormula>
    </tableColumn>
    <tableColumn id="20" xr3:uid="{08AD0E5D-24CC-448B-883E-086F1DDB84A4}" name="Drilled Hole Diameter Min" dataDxfId="3">
      <calculatedColumnFormula array="1">VLOOKUP($B23,NAS1352First[],COLUMN(NAS1352First[Drilled Hole Diameter Min]),FALSE)</calculatedColumnFormula>
    </tableColumn>
    <tableColumn id="21" xr3:uid="{9137C967-F6AD-4321-A630-93FB53A6F9A6}" name="Alloy Steel Minimum Breaking Strength (lb)" dataDxfId="2">
      <calculatedColumnFormula array="1">VLOOKUP($B23,NAS1352First[],COLUMN(NAS1352First[Alloy Steel Minimum Breaking Strength (lb)]),FALSE)</calculatedColumnFormula>
    </tableColumn>
    <tableColumn id="22" xr3:uid="{7150C958-9419-4356-A3DE-F3E82A4DBD0A}" name="Corrosion Resistant Steel Minimum Breaking Strength (lb)" dataDxfId="1">
      <calculatedColumnFormula array="1">VLOOKUP($B23,NAS1352First[],COLUMN(NAS1352First[Corrosion Resistant Steel Minimum Breaking Strength (lb)]),FALSE)</calculatedColumnFormula>
    </tableColumn>
    <tableColumn id="23" xr3:uid="{34DDFFF4-3778-45F0-94A6-5956009C8780}" name="Heat Resistant Steel Minimum Breaking Strength (lb)" dataDxfId="0">
      <calculatedColumnFormula array="1">VLOOKUP($B23,NAS1352First[],COLUMN(NAS1352First[Heat Resistant Steel Minimum Breaking Strength (lb)]),FALSE)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EF7CA-E52B-4676-9B84-82CDBCCDCCA7}">
  <sheetPr codeName="Sheet1"/>
  <dimension ref="B1:BN106"/>
  <sheetViews>
    <sheetView topLeftCell="AX1" zoomScale="85" zoomScaleNormal="85" workbookViewId="0">
      <selection activeCell="BA14" sqref="BA14"/>
    </sheetView>
  </sheetViews>
  <sheetFormatPr defaultRowHeight="15" x14ac:dyDescent="0.25"/>
  <cols>
    <col min="2" max="2" width="23.28515625" bestFit="1" customWidth="1"/>
    <col min="3" max="3" width="10.5703125" bestFit="1" customWidth="1"/>
    <col min="4" max="4" width="5.140625" bestFit="1" customWidth="1"/>
    <col min="5" max="5" width="1.7109375" customWidth="1"/>
    <col min="6" max="6" width="12.7109375" bestFit="1" customWidth="1"/>
    <col min="7" max="7" width="16.7109375" bestFit="1" customWidth="1"/>
    <col min="8" max="8" width="7.42578125" bestFit="1" customWidth="1"/>
    <col min="9" max="9" width="1.7109375" customWidth="1"/>
    <col min="10" max="10" width="12.7109375" bestFit="1" customWidth="1"/>
    <col min="11" max="11" width="19.140625" bestFit="1" customWidth="1"/>
    <col min="12" max="12" width="9" bestFit="1" customWidth="1"/>
    <col min="13" max="13" width="1.7109375" customWidth="1"/>
    <col min="14" max="14" width="12.7109375" bestFit="1" customWidth="1"/>
    <col min="15" max="15" width="13.85546875" bestFit="1" customWidth="1"/>
    <col min="16" max="16" width="8.42578125" customWidth="1"/>
    <col min="17" max="17" width="1.7109375" customWidth="1"/>
    <col min="18" max="18" width="12.7109375" bestFit="1" customWidth="1"/>
    <col min="19" max="19" width="20.28515625" bestFit="1" customWidth="1"/>
    <col min="20" max="20" width="12.28515625" bestFit="1" customWidth="1"/>
    <col min="21" max="21" width="8.42578125" bestFit="1" customWidth="1"/>
    <col min="22" max="22" width="6.42578125" customWidth="1"/>
    <col min="23" max="23" width="1.7109375" customWidth="1"/>
    <col min="24" max="24" width="12.7109375" bestFit="1" customWidth="1"/>
    <col min="25" max="25" width="48" bestFit="1" customWidth="1"/>
    <col min="26" max="26" width="6.42578125" bestFit="1" customWidth="1"/>
    <col min="27" max="27" width="14.28515625" bestFit="1" customWidth="1"/>
    <col min="28" max="28" width="12.28515625" bestFit="1" customWidth="1"/>
    <col min="29" max="29" width="1.7109375" customWidth="1"/>
    <col min="30" max="30" width="21.140625" bestFit="1" customWidth="1"/>
    <col min="31" max="31" width="12.28515625" bestFit="1" customWidth="1"/>
    <col min="32" max="32" width="6.7109375" bestFit="1" customWidth="1"/>
    <col min="33" max="34" width="12.28515625" bestFit="1" customWidth="1"/>
    <col min="35" max="35" width="59.28515625" bestFit="1" customWidth="1"/>
    <col min="38" max="38" width="22.28515625" bestFit="1" customWidth="1"/>
    <col min="40" max="40" width="26.5703125" bestFit="1" customWidth="1"/>
    <col min="41" max="41" width="12.28515625" bestFit="1" customWidth="1"/>
    <col min="48" max="48" width="10.85546875" bestFit="1" customWidth="1"/>
    <col min="49" max="49" width="36.42578125" bestFit="1" customWidth="1"/>
    <col min="52" max="52" width="22.42578125" bestFit="1" customWidth="1"/>
    <col min="53" max="53" width="53.7109375" bestFit="1" customWidth="1"/>
    <col min="56" max="56" width="18.5703125" bestFit="1" customWidth="1"/>
    <col min="60" max="60" width="21.5703125" bestFit="1" customWidth="1"/>
    <col min="64" max="64" width="31.5703125" bestFit="1" customWidth="1"/>
    <col min="65" max="65" width="41.85546875" bestFit="1" customWidth="1"/>
  </cols>
  <sheetData>
    <row r="1" spans="2:66" x14ac:dyDescent="0.25">
      <c r="G1" t="s">
        <v>34</v>
      </c>
      <c r="K1" t="s">
        <v>32</v>
      </c>
      <c r="O1" t="s">
        <v>33</v>
      </c>
      <c r="S1" t="s">
        <v>42</v>
      </c>
      <c r="Y1" t="s">
        <v>78</v>
      </c>
      <c r="AD1" t="s">
        <v>63</v>
      </c>
      <c r="AE1" cm="1">
        <f t="array" ref="AE1">fluidMassFlowConvert(Y2,Z2,AF1)</f>
        <v>1E-3</v>
      </c>
      <c r="AF1" t="s">
        <v>35</v>
      </c>
      <c r="AK1" t="s">
        <v>125</v>
      </c>
      <c r="AN1" t="s">
        <v>85</v>
      </c>
      <c r="AR1" t="s">
        <v>175</v>
      </c>
      <c r="AS1">
        <v>100</v>
      </c>
      <c r="AT1" t="s">
        <v>133</v>
      </c>
      <c r="AW1" t="s">
        <v>208</v>
      </c>
      <c r="AZ1" t="s">
        <v>209</v>
      </c>
      <c r="BD1" t="s">
        <v>277</v>
      </c>
      <c r="BH1" t="s">
        <v>278</v>
      </c>
      <c r="BL1" t="s">
        <v>279</v>
      </c>
    </row>
    <row r="2" spans="2:66" x14ac:dyDescent="0.25">
      <c r="B2" t="s">
        <v>0</v>
      </c>
      <c r="C2" t="s">
        <v>1</v>
      </c>
      <c r="F2" t="s">
        <v>22</v>
      </c>
      <c r="G2">
        <v>1</v>
      </c>
      <c r="H2" t="s">
        <v>35</v>
      </c>
      <c r="J2" t="s">
        <v>22</v>
      </c>
      <c r="K2">
        <v>100</v>
      </c>
      <c r="L2" t="s">
        <v>23</v>
      </c>
      <c r="N2" t="s">
        <v>22</v>
      </c>
      <c r="O2">
        <v>1</v>
      </c>
      <c r="P2" t="s">
        <v>24</v>
      </c>
      <c r="R2" t="s">
        <v>22</v>
      </c>
      <c r="S2">
        <v>1</v>
      </c>
      <c r="T2" t="s">
        <v>37</v>
      </c>
      <c r="X2" t="s">
        <v>22</v>
      </c>
      <c r="Y2">
        <v>1</v>
      </c>
      <c r="Z2" t="s">
        <v>37</v>
      </c>
      <c r="AD2" t="s">
        <v>64</v>
      </c>
      <c r="AE2" cm="1">
        <f t="array" ref="AE2">fluidGasConstant("O2")</f>
        <v>259.83661262297335</v>
      </c>
      <c r="AF2" t="s">
        <v>65</v>
      </c>
      <c r="AG2">
        <f>AE2/1000</f>
        <v>0.25983661262297336</v>
      </c>
      <c r="AK2" t="s">
        <v>35</v>
      </c>
      <c r="AL2" t="str" cm="1">
        <f t="array" ref="AL2">fluidUnitType(AK2)</f>
        <v>Mass Flow</v>
      </c>
      <c r="AN2" t="s">
        <v>86</v>
      </c>
      <c r="AO2">
        <v>1</v>
      </c>
      <c r="AP2" t="s">
        <v>37</v>
      </c>
      <c r="AV2" t="s">
        <v>175</v>
      </c>
      <c r="AW2">
        <v>70</v>
      </c>
      <c r="AX2" t="s">
        <v>62</v>
      </c>
      <c r="AZ2" t="s">
        <v>175</v>
      </c>
      <c r="BA2">
        <v>100</v>
      </c>
      <c r="BB2" t="s">
        <v>95</v>
      </c>
      <c r="BD2" t="s">
        <v>175</v>
      </c>
      <c r="BE2">
        <v>1</v>
      </c>
      <c r="BF2" t="s">
        <v>219</v>
      </c>
      <c r="BH2" t="s">
        <v>175</v>
      </c>
      <c r="BI2">
        <v>1</v>
      </c>
      <c r="BJ2" t="s">
        <v>240</v>
      </c>
      <c r="BL2" t="s">
        <v>175</v>
      </c>
      <c r="BM2">
        <v>1</v>
      </c>
      <c r="BN2" t="s">
        <v>257</v>
      </c>
    </row>
    <row r="3" spans="2:66" x14ac:dyDescent="0.25">
      <c r="B3" t="s">
        <v>4</v>
      </c>
      <c r="C3" cm="1">
        <f t="array" ref="C3">fluidStandardConditions(C2,"T")</f>
        <v>273.14999999999998</v>
      </c>
      <c r="D3" t="s">
        <v>2</v>
      </c>
      <c r="G3" cm="1">
        <f t="array" ref="G3">fluidConvert($G$2,$H$2,H3)</f>
        <v>1</v>
      </c>
      <c r="H3" t="s">
        <v>35</v>
      </c>
      <c r="K3" cm="1">
        <f t="array" ref="K3">fluidConvert($K$2,$L$2,L3)</f>
        <v>1E-4</v>
      </c>
      <c r="L3" t="s">
        <v>10</v>
      </c>
      <c r="O3" cm="1">
        <f t="array" ref="O3">fluidConvert(O$2,$P$2,P3)</f>
        <v>1</v>
      </c>
      <c r="P3" t="s">
        <v>24</v>
      </c>
      <c r="R3" t="s">
        <v>43</v>
      </c>
      <c r="S3" t="s">
        <v>44</v>
      </c>
      <c r="T3" t="s">
        <v>45</v>
      </c>
      <c r="X3" t="s">
        <v>43</v>
      </c>
      <c r="Y3" t="s">
        <v>44</v>
      </c>
      <c r="Z3" t="s">
        <v>45</v>
      </c>
      <c r="AD3" t="s">
        <v>66</v>
      </c>
      <c r="AE3">
        <f>CONVERT(AG3,"F","K")</f>
        <v>288.14999999999998</v>
      </c>
      <c r="AF3" t="s">
        <v>2</v>
      </c>
      <c r="AG3">
        <v>59</v>
      </c>
      <c r="AH3" t="s">
        <v>62</v>
      </c>
      <c r="AI3" t="s">
        <v>71</v>
      </c>
      <c r="AK3" t="s">
        <v>110</v>
      </c>
      <c r="AL3" t="str" cm="1">
        <f t="array" ref="AL3">fluidUnitType(AK3)</f>
        <v>Mass Flow</v>
      </c>
      <c r="AN3" t="s">
        <v>63</v>
      </c>
      <c r="AO3" s="1" cm="1">
        <f t="array" ref="AO3">fluidConvert(AO2,AP2,AP3)</f>
        <v>2.2046244201837776E-3</v>
      </c>
      <c r="AP3" t="s">
        <v>39</v>
      </c>
      <c r="AR3" t="s">
        <v>174</v>
      </c>
      <c r="BE3" cm="1">
        <f t="array" ref="BE3">fluidConvert(BE$2,BF$2,BF3)</f>
        <v>9.9999999999999995E-7</v>
      </c>
      <c r="BF3" t="s">
        <v>224</v>
      </c>
      <c r="BI3" cm="1">
        <f t="array" ref="BI3">fluidConvert(BI$2,BJ$2,BJ3)</f>
        <v>1.0000000000000001E-9</v>
      </c>
      <c r="BJ3" t="s">
        <v>239</v>
      </c>
      <c r="BM3" cm="1">
        <f t="array" ref="BM3">fluidConvert(BM$2,BN$2,BN3)</f>
        <v>9.9999999999999998E-13</v>
      </c>
      <c r="BN3" t="s">
        <v>256</v>
      </c>
    </row>
    <row r="4" spans="2:66" x14ac:dyDescent="0.25">
      <c r="B4" t="s">
        <v>5</v>
      </c>
      <c r="C4" cm="1">
        <f t="array" ref="C4">fluidStandardConditions(C2,"P")</f>
        <v>100000</v>
      </c>
      <c r="D4" t="s">
        <v>3</v>
      </c>
      <c r="G4" cm="1">
        <f t="array" ref="G4">fluidConvert($G$2,$H$2,H4)</f>
        <v>60</v>
      </c>
      <c r="H4" t="s">
        <v>110</v>
      </c>
      <c r="K4" cm="1">
        <f t="array" ref="K4">fluidConvert($K$2,$L$2,L4)</f>
        <v>6.0000000000000001E-3</v>
      </c>
      <c r="L4" t="s">
        <v>113</v>
      </c>
      <c r="O4" cm="1">
        <f t="array" ref="O4">fluidConvert(O$2,$P$2,P4)</f>
        <v>9.9999999999999995E-7</v>
      </c>
      <c r="P4" t="s">
        <v>25</v>
      </c>
      <c r="R4" t="s">
        <v>0</v>
      </c>
      <c r="S4" t="s">
        <v>61</v>
      </c>
      <c r="T4" t="s">
        <v>45</v>
      </c>
      <c r="X4" t="s">
        <v>0</v>
      </c>
      <c r="Y4" t="s">
        <v>73</v>
      </c>
      <c r="Z4" t="s">
        <v>45</v>
      </c>
      <c r="AD4" t="s">
        <v>67</v>
      </c>
      <c r="AE4">
        <f>CONVERT(AG4,"kPa","Pa")</f>
        <v>101325</v>
      </c>
      <c r="AF4" t="s">
        <v>3</v>
      </c>
      <c r="AG4">
        <v>101.325</v>
      </c>
      <c r="AH4" t="s">
        <v>70</v>
      </c>
      <c r="AI4" t="s">
        <v>72</v>
      </c>
      <c r="AK4" t="s">
        <v>36</v>
      </c>
      <c r="AL4" t="str" cm="1">
        <f t="array" ref="AL4">fluidUnitType(AK4)</f>
        <v>Mass Flow</v>
      </c>
      <c r="AN4" t="s">
        <v>43</v>
      </c>
      <c r="AO4" t="s">
        <v>88</v>
      </c>
      <c r="AP4" t="s">
        <v>45</v>
      </c>
      <c r="AS4" cm="1">
        <f t="array" ref="AS4">fluidConvert($AS$1,$AT$1,AT4)</f>
        <v>0.1</v>
      </c>
      <c r="AT4" t="s">
        <v>132</v>
      </c>
      <c r="AW4" cm="1">
        <f t="array" ref="AW4">fluidConvert($AW$2,$AX$2,AX4)</f>
        <v>70</v>
      </c>
      <c r="AX4" t="s">
        <v>62</v>
      </c>
      <c r="BA4" cm="1">
        <f t="array" ref="BA4">fluidConvert($BA$2,$BB$2,BB4)</f>
        <v>100.00000000000001</v>
      </c>
      <c r="BB4" t="s">
        <v>9</v>
      </c>
      <c r="BE4" cm="1">
        <f t="array" ref="BE4">fluidConvert(BE$2,BF$2,BF4)</f>
        <v>1</v>
      </c>
      <c r="BF4" t="s">
        <v>219</v>
      </c>
      <c r="BI4" cm="1">
        <f t="array" ref="BI4">fluidConvert(BI$2,BJ$2,BJ4)</f>
        <v>1</v>
      </c>
      <c r="BJ4" t="s">
        <v>240</v>
      </c>
      <c r="BM4" cm="1">
        <f t="array" ref="BM4">fluidConvert(BM$2,BN$2,BN4)</f>
        <v>1</v>
      </c>
      <c r="BN4" t="s">
        <v>257</v>
      </c>
    </row>
    <row r="5" spans="2:66" x14ac:dyDescent="0.25">
      <c r="B5" t="s">
        <v>6</v>
      </c>
      <c r="C5" cm="1">
        <f t="array" ref="C5">fluidStandardConditions(C2,"T",FALSE)</f>
        <v>491.66999999999996</v>
      </c>
      <c r="D5" t="s">
        <v>8</v>
      </c>
      <c r="G5" cm="1">
        <f t="array" ref="G5">fluidConvert($G$2,$H$2,H5)</f>
        <v>3600</v>
      </c>
      <c r="H5" t="s">
        <v>36</v>
      </c>
      <c r="K5" cm="1">
        <f t="array" ref="K5">fluidConvert($K$2,$L$2,L5)</f>
        <v>0.36000000000000004</v>
      </c>
      <c r="L5" t="s">
        <v>11</v>
      </c>
      <c r="O5" cm="1">
        <f t="array" ref="O5">fluidConvert(O$2,$P$2,P5)</f>
        <v>1E-3</v>
      </c>
      <c r="P5" t="s">
        <v>26</v>
      </c>
      <c r="S5" cm="1">
        <f t="array" ref="S5">fluidConvert($S$2,$T$2,T5,$S$3,$S$4)</f>
        <v>7.5924348856640559E-4</v>
      </c>
      <c r="T5" t="s">
        <v>46</v>
      </c>
      <c r="U5" cm="1">
        <f t="array" ref="U5">fluidConvert(S5,T5,V5,$S$3,$S$4)</f>
        <v>1</v>
      </c>
      <c r="V5" t="s">
        <v>37</v>
      </c>
      <c r="Y5" t="s">
        <v>76</v>
      </c>
      <c r="Z5" t="s">
        <v>77</v>
      </c>
      <c r="AA5" t="s">
        <v>74</v>
      </c>
      <c r="AB5" t="s">
        <v>75</v>
      </c>
      <c r="AD5" t="s">
        <v>68</v>
      </c>
      <c r="AE5">
        <f>AE4/AE2/AE3</f>
        <v>1.3533110957802672</v>
      </c>
      <c r="AF5" t="s">
        <v>24</v>
      </c>
      <c r="AK5" t="s">
        <v>37</v>
      </c>
      <c r="AL5" t="str" cm="1">
        <f t="array" ref="AL5">fluidUnitType(AK5)</f>
        <v>Mass Flow</v>
      </c>
      <c r="AN5" t="s">
        <v>87</v>
      </c>
      <c r="AO5" cm="1">
        <f t="array" ref="AO5">fluidConvert(AO2,AP2,AP5,AO4)</f>
        <v>8.1071494665068376E-4</v>
      </c>
      <c r="AP5" t="s">
        <v>46</v>
      </c>
      <c r="AS5" cm="1">
        <f t="array" ref="AS5">fluidConvert($AS$1,$AT$1,AT5)</f>
        <v>100</v>
      </c>
      <c r="AT5" t="s">
        <v>133</v>
      </c>
      <c r="AW5" cm="1">
        <f t="array" ref="AW5">fluidConvert($AW$2,$AX$2,AX5)</f>
        <v>70</v>
      </c>
      <c r="AX5" t="s">
        <v>178</v>
      </c>
      <c r="BA5" cm="1">
        <f t="array" ref="BA5">fluidConvert($BA$2,$BB$2,BB5)</f>
        <v>100.00000000000001</v>
      </c>
      <c r="BB5" t="s">
        <v>196</v>
      </c>
      <c r="BE5" cm="1">
        <f t="array" ref="BE5">fluidConvert(BE$2,BF$2,BF5)</f>
        <v>10000</v>
      </c>
      <c r="BF5" t="s">
        <v>225</v>
      </c>
      <c r="BI5" cm="1">
        <f t="array" ref="BI5">fluidConvert(BI$2,BJ$2,BJ5)</f>
        <v>1000000</v>
      </c>
      <c r="BJ5" t="s">
        <v>241</v>
      </c>
      <c r="BM5" cm="1">
        <f t="array" ref="BM5">fluidConvert(BM$2,BN$2,BN5)</f>
        <v>100000000</v>
      </c>
      <c r="BN5" t="s">
        <v>258</v>
      </c>
    </row>
    <row r="6" spans="2:66" x14ac:dyDescent="0.25">
      <c r="B6" t="s">
        <v>7</v>
      </c>
      <c r="C6" cm="1">
        <f t="array" ref="C6">fluidStandardConditions(C2,"P",FALSE)</f>
        <v>14.5038</v>
      </c>
      <c r="D6" t="s">
        <v>9</v>
      </c>
      <c r="G6" cm="1">
        <f t="array" ref="G6">fluidConvert($G$2,$H$2,H6)</f>
        <v>1000</v>
      </c>
      <c r="H6" t="s">
        <v>37</v>
      </c>
      <c r="K6" cm="1">
        <f t="array" ref="K6">fluidConvert($K$2,$L$2,L6)</f>
        <v>100</v>
      </c>
      <c r="L6" t="s">
        <v>12</v>
      </c>
      <c r="O6" cm="1">
        <f t="array" ref="O6">fluidConvert(O$2,$P$2,P6)</f>
        <v>1000</v>
      </c>
      <c r="P6" t="s">
        <v>27</v>
      </c>
      <c r="S6" cm="1">
        <f t="array" ref="S6">fluidConvert($S$2,$T$2,T6,$S$3,$S$4)</f>
        <v>4.5554609313984334E-2</v>
      </c>
      <c r="T6" t="s">
        <v>47</v>
      </c>
      <c r="U6" cm="1">
        <f t="array" ref="U6">fluidConvert(S6,T6,V6,$S$3,$S$4)</f>
        <v>1</v>
      </c>
      <c r="V6" t="s">
        <v>37</v>
      </c>
      <c r="Y6" cm="1">
        <f t="array" ref="Y6">fluidConvert($Y$2,$Z$2,Z6,$Y$3,$Y$4)</f>
        <v>2705.5412143757962</v>
      </c>
      <c r="Z6" t="s">
        <v>59</v>
      </c>
      <c r="AA6">
        <v>2704.7220000000002</v>
      </c>
      <c r="AB6">
        <f>Y6-AA6</f>
        <v>0.81921437579603662</v>
      </c>
      <c r="AD6" t="s">
        <v>69</v>
      </c>
      <c r="AE6">
        <f>AE1/AE5</f>
        <v>7.3892839799960292E-4</v>
      </c>
      <c r="AF6" t="s">
        <v>10</v>
      </c>
      <c r="AK6" t="s">
        <v>111</v>
      </c>
      <c r="AL6" t="str" cm="1">
        <f t="array" ref="AL6">fluidUnitType(AK6)</f>
        <v>Mass Flow</v>
      </c>
      <c r="AS6" cm="1">
        <f t="array" ref="AS6">fluidConvert($AS$1,$AT$1,AT6)</f>
        <v>10000</v>
      </c>
      <c r="AT6" t="s">
        <v>134</v>
      </c>
      <c r="AW6" cm="1">
        <f t="array" ref="AW6">fluidConvert($AW$2,$AX$2,AX6)</f>
        <v>21.111111111111111</v>
      </c>
      <c r="AX6" t="s">
        <v>177</v>
      </c>
      <c r="BA6" cm="1">
        <f t="array" ref="BA6">fluidConvert($BA$2,$BB$2,BB6)</f>
        <v>100.00000000000001</v>
      </c>
      <c r="BB6" t="s">
        <v>95</v>
      </c>
      <c r="BE6" cm="1">
        <f t="array" ref="BE6">fluidConvert(BE$2,BF$2,BF6)</f>
        <v>1000000</v>
      </c>
      <c r="BF6" t="s">
        <v>226</v>
      </c>
      <c r="BI6" cm="1">
        <f t="array" ref="BI6">fluidConvert(BI$2,BJ$2,BJ6)</f>
        <v>1000000000</v>
      </c>
      <c r="BJ6" t="s">
        <v>242</v>
      </c>
      <c r="BM6" cm="1">
        <f t="array" ref="BM6">fluidConvert(BM$2,BN$2,BN6)</f>
        <v>1000000000000</v>
      </c>
      <c r="BN6" t="s">
        <v>259</v>
      </c>
    </row>
    <row r="7" spans="2:66" x14ac:dyDescent="0.25">
      <c r="G7" cm="1">
        <f t="array" ref="G7">fluidConvert($G$2,$H$2,H7)</f>
        <v>60000</v>
      </c>
      <c r="H7" t="s">
        <v>111</v>
      </c>
      <c r="K7" cm="1">
        <f t="array" ref="K7">fluidConvert($K$2,$L$2,L7)</f>
        <v>6000</v>
      </c>
      <c r="L7" t="s">
        <v>114</v>
      </c>
      <c r="O7" cm="1">
        <f t="array" ref="O7">fluidConvert(O$2,$P$2,P7)</f>
        <v>1</v>
      </c>
      <c r="P7" t="s">
        <v>28</v>
      </c>
      <c r="S7" cm="1">
        <f t="array" ref="S7">fluidConvert($S$2,$T$2,T7,$S$3,$S$4)</f>
        <v>2.73327655883906</v>
      </c>
      <c r="T7" t="s">
        <v>48</v>
      </c>
      <c r="U7" cm="1">
        <f t="array" ref="U7">fluidConvert(S7,T7,V7,$S$3,$S$4)</f>
        <v>1</v>
      </c>
      <c r="V7" t="s">
        <v>37</v>
      </c>
      <c r="Y7" cm="1">
        <f t="array" ref="Y7">fluidConvert($Y$2,$Z$2,Z7,$Y$3,$Y$4)</f>
        <v>1.5657031825621601</v>
      </c>
      <c r="Z7" t="s">
        <v>56</v>
      </c>
      <c r="AA7">
        <v>1.565232</v>
      </c>
      <c r="AB7">
        <f t="shared" ref="AB7:AB11" si="0">Y7-AA7</f>
        <v>4.7118256216016619E-4</v>
      </c>
      <c r="AE7" cm="1">
        <f t="array" ref="AE7">fluidConvert(AE6,AF6,AF7)</f>
        <v>738.92839799960291</v>
      </c>
      <c r="AF7" t="s">
        <v>23</v>
      </c>
      <c r="AG7">
        <v>738.7079</v>
      </c>
      <c r="AH7">
        <f>AE7-AG7</f>
        <v>0.22049799960291239</v>
      </c>
      <c r="AK7" t="s">
        <v>38</v>
      </c>
      <c r="AL7" t="str" cm="1">
        <f t="array" ref="AL7">fluidUnitType(AK7)</f>
        <v>Mass Flow</v>
      </c>
      <c r="AN7" t="s">
        <v>89</v>
      </c>
      <c r="AO7">
        <v>1</v>
      </c>
      <c r="AP7" t="s">
        <v>23</v>
      </c>
      <c r="AS7" cm="1">
        <f t="array" ref="AS7">fluidConvert($AS$1,$AT$1,AT7)</f>
        <v>100000</v>
      </c>
      <c r="AT7" t="s">
        <v>135</v>
      </c>
      <c r="AW7" cm="1">
        <f t="array" ref="AW7">fluidConvert($AW$2,$AX$2,AX7)</f>
        <v>21.111111111111111</v>
      </c>
      <c r="AX7" t="s">
        <v>179</v>
      </c>
      <c r="BA7" cm="1">
        <f t="array" ref="BA7">fluidConvert($BA$2,$BB$2,BB7)</f>
        <v>0.10000000000000002</v>
      </c>
      <c r="BB7" t="s">
        <v>207</v>
      </c>
      <c r="BE7" cm="1">
        <f t="array" ref="BE7">fluidConvert(BE$2,BF$2,BF7)</f>
        <v>1550.0031000061999</v>
      </c>
      <c r="BF7" t="s">
        <v>218</v>
      </c>
      <c r="BI7" cm="1">
        <f t="array" ref="BI7">fluidConvert(BI$2,BJ$2,BJ7)</f>
        <v>61023.744094732283</v>
      </c>
      <c r="BJ7" t="s">
        <v>243</v>
      </c>
      <c r="BM7" cm="1">
        <f t="array" ref="BM7">fluidConvert(BM$2,BN$2,BN7)</f>
        <v>2402509.6100288299</v>
      </c>
      <c r="BN7" t="s">
        <v>260</v>
      </c>
    </row>
    <row r="8" spans="2:66" x14ac:dyDescent="0.25">
      <c r="G8" cm="1">
        <f t="array" ref="G8">fluidConvert($G$2,$H$2,H8)</f>
        <v>3600000</v>
      </c>
      <c r="H8" t="s">
        <v>38</v>
      </c>
      <c r="K8" cm="1">
        <f t="array" ref="K8">fluidConvert($K$2,$L$2,L8)</f>
        <v>360000</v>
      </c>
      <c r="L8" t="s">
        <v>13</v>
      </c>
      <c r="O8" cm="1">
        <f t="array" ref="O8">fluidConvert(O$2,$P$2,P8)</f>
        <v>3.6127298147753422E-5</v>
      </c>
      <c r="P8" t="s">
        <v>29</v>
      </c>
      <c r="S8" cm="1">
        <f t="array" ref="S8">fluidConvert($S$2,$T$2,T8,$S$3,$S$4)</f>
        <v>0.75924348856640556</v>
      </c>
      <c r="T8" t="s">
        <v>49</v>
      </c>
      <c r="U8" cm="1">
        <f t="array" ref="U8">fluidConvert(S8,T8,V8,$S$3,$S$4)</f>
        <v>1</v>
      </c>
      <c r="V8" t="s">
        <v>37</v>
      </c>
      <c r="Y8" cm="1">
        <f t="array" ref="Y8">fluidConvert($Y$2,$Z$2,Z8,$Y$3,$Y$4)</f>
        <v>44.335703879976172</v>
      </c>
      <c r="Z8" t="s">
        <v>50</v>
      </c>
      <c r="AA8">
        <v>44.322479999999999</v>
      </c>
      <c r="AB8">
        <f t="shared" si="0"/>
        <v>1.3223879976173691E-2</v>
      </c>
      <c r="AK8" t="s">
        <v>39</v>
      </c>
      <c r="AL8" t="str" cm="1">
        <f t="array" ref="AL8">fluidUnitType(AK8)</f>
        <v>Mass Flow</v>
      </c>
      <c r="AN8" t="s">
        <v>90</v>
      </c>
      <c r="AO8" cm="1">
        <f t="array" ref="AO8">fluidConvert(AO7,AP7,AP8)</f>
        <v>9.9999999999999995E-7</v>
      </c>
      <c r="AP8" t="s">
        <v>10</v>
      </c>
      <c r="AS8" cm="1">
        <f t="array" ref="AS8">fluidConvert($AS$1,$AT$1,AT8)</f>
        <v>3937.0078740157483</v>
      </c>
      <c r="AT8" t="s">
        <v>136</v>
      </c>
      <c r="AW8" cm="1">
        <f t="array" ref="AW8">fluidConvert($AW$2,$AX$2,AX8)</f>
        <v>294.26111111111106</v>
      </c>
      <c r="AX8" t="s">
        <v>2</v>
      </c>
      <c r="BA8" cm="1">
        <f t="array" ref="BA8">fluidConvert($BA$2,$BB$2,BB8)</f>
        <v>100.00000000000001</v>
      </c>
      <c r="BB8" t="s">
        <v>197</v>
      </c>
      <c r="BE8" cm="1">
        <f t="array" ref="BE8">fluidConvert(BE$2,BF$2,BF8)</f>
        <v>10.763910416709722</v>
      </c>
      <c r="BF8" t="s">
        <v>227</v>
      </c>
      <c r="BI8" cm="1">
        <f t="array" ref="BI8">fluidConvert(BI$2,BJ$2,BJ8)</f>
        <v>35.314666721488592</v>
      </c>
      <c r="BJ8" t="s">
        <v>244</v>
      </c>
      <c r="BM8" cm="1">
        <f t="array" ref="BM8">fluidConvert(BM$2,BN$2,BN8)</f>
        <v>115.86176745895206</v>
      </c>
      <c r="BN8" t="s">
        <v>261</v>
      </c>
    </row>
    <row r="9" spans="2:66" x14ac:dyDescent="0.25">
      <c r="B9" t="s">
        <v>41</v>
      </c>
      <c r="C9" cm="1">
        <f t="array" ref="C9">fluidUniversalGasConstant()</f>
        <v>8.3144597999999998</v>
      </c>
      <c r="G9" cm="1">
        <f t="array" ref="G9">fluidConvert($G$2,$H$2,H9)</f>
        <v>2.2046244201837775</v>
      </c>
      <c r="H9" t="s">
        <v>39</v>
      </c>
      <c r="K9" cm="1">
        <f t="array" ref="K9">fluidConvert($K$2,$L$2,L9)</f>
        <v>0.1</v>
      </c>
      <c r="L9" t="s">
        <v>14</v>
      </c>
      <c r="O9" cm="1">
        <f t="array" ref="O9">fluidConvert(O$2,$P$2,P9)</f>
        <v>6.2429766512673242E-2</v>
      </c>
      <c r="P9" t="s">
        <v>30</v>
      </c>
      <c r="S9" cm="1">
        <f t="array" ref="S9">fluidConvert($S$2,$T$2,T9,$S$3,$S$4)</f>
        <v>45.554609313984336</v>
      </c>
      <c r="T9" t="s">
        <v>50</v>
      </c>
      <c r="U9" cm="1">
        <f t="array" ref="U9">fluidConvert(S9,T9,V9,$S$3,$S$4)</f>
        <v>1</v>
      </c>
      <c r="V9" t="s">
        <v>37</v>
      </c>
      <c r="Y9" cm="1">
        <f t="array" ref="Y9">fluidConvert($Y$2,$Z$2,Z9,$Y$3,$Y$4)</f>
        <v>0.73892839799960297</v>
      </c>
      <c r="Z9" t="s">
        <v>49</v>
      </c>
      <c r="AA9">
        <v>0.73870800000000003</v>
      </c>
      <c r="AB9">
        <f t="shared" si="0"/>
        <v>2.2039799960293927E-4</v>
      </c>
      <c r="AK9" t="s">
        <v>112</v>
      </c>
      <c r="AL9" t="str" cm="1">
        <f t="array" ref="AL9">fluidUnitType(AK9)</f>
        <v>Mass Flow</v>
      </c>
      <c r="AS9" cm="1">
        <f t="array" ref="AS9">fluidConvert($AS$1,$AT$1,AT9)</f>
        <v>328.08398950131232</v>
      </c>
      <c r="AT9" t="s">
        <v>137</v>
      </c>
      <c r="AW9" cm="1">
        <f t="array" ref="AW9">fluidConvert($AW$2,$AX$2,AX9)</f>
        <v>529.67000000000007</v>
      </c>
      <c r="AX9" t="s">
        <v>8</v>
      </c>
      <c r="BA9" cm="1">
        <f t="array" ref="BA9">fluidConvert($BA$2,$BB$2,BB9)</f>
        <v>100.00000000000001</v>
      </c>
      <c r="BB9" t="s">
        <v>198</v>
      </c>
      <c r="BE9" cm="1">
        <f t="array" ref="BE9">fluidConvert(BE$2,BF$2,BF9)</f>
        <v>1.1959900463010802</v>
      </c>
      <c r="BF9" t="s">
        <v>228</v>
      </c>
      <c r="BI9" cm="1">
        <f t="array" ref="BI9">fluidConvert(BI$2,BJ$2,BJ9)</f>
        <v>1.3079506193143922</v>
      </c>
      <c r="BJ9" t="s">
        <v>245</v>
      </c>
      <c r="BM9" cm="1">
        <f t="array" ref="BM9">fluidConvert(BM$2,BN$2,BN9)</f>
        <v>1.43039219085126</v>
      </c>
      <c r="BN9" t="s">
        <v>262</v>
      </c>
    </row>
    <row r="10" spans="2:66" x14ac:dyDescent="0.25">
      <c r="G10" cm="1">
        <f t="array" ref="G10">fluidConvert($G$2,$H$2,H10)</f>
        <v>132.27746521102665</v>
      </c>
      <c r="H10" t="s">
        <v>112</v>
      </c>
      <c r="K10" cm="1">
        <f t="array" ref="K10">fluidConvert($K$2,$L$2,L10)</f>
        <v>6</v>
      </c>
      <c r="L10" t="s">
        <v>115</v>
      </c>
      <c r="O10" cm="1">
        <f t="array" ref="O10">fluidConvert(O$2,$P$2,P10)</f>
        <v>8.3454342129421002E-3</v>
      </c>
      <c r="P10" t="s">
        <v>31</v>
      </c>
      <c r="S10" cm="1">
        <f t="array" ref="S10">fluidConvert($S$2,$T$2,T10,$S$3,$S$4)</f>
        <v>2733.2765588390603</v>
      </c>
      <c r="T10" t="s">
        <v>51</v>
      </c>
      <c r="U10" cm="1">
        <f t="array" ref="U10">fluidConvert(S10,T10,V10,$S$3,$S$4)</f>
        <v>1</v>
      </c>
      <c r="V10" t="s">
        <v>37</v>
      </c>
      <c r="Y10" cm="1">
        <f t="array" ref="Y10">fluidConvert($Y$2,$Z$2,Z10,$Y$3,$Y$4)</f>
        <v>44335.703879976172</v>
      </c>
      <c r="Z10" t="s">
        <v>53</v>
      </c>
      <c r="AA10">
        <v>44322.48</v>
      </c>
      <c r="AB10">
        <f t="shared" si="0"/>
        <v>13.223879976168973</v>
      </c>
      <c r="AK10" t="s">
        <v>40</v>
      </c>
      <c r="AL10" t="str" cm="1">
        <f t="array" ref="AL10">fluidUnitType(AK10)</f>
        <v>Mass Flow</v>
      </c>
      <c r="AN10" t="s">
        <v>91</v>
      </c>
      <c r="AO10">
        <v>1</v>
      </c>
      <c r="AP10" t="s">
        <v>24</v>
      </c>
      <c r="AS10" cm="1">
        <f t="array" ref="AS10">fluidConvert($AS$1,$AT$1,AT10)</f>
        <v>109.36132983377078</v>
      </c>
      <c r="AT10" t="s">
        <v>138</v>
      </c>
      <c r="AW10" cm="1">
        <f t="array" ref="AW10">fluidConvert($AW$2,$AX$2,AX10)</f>
        <v>529.67000000000007</v>
      </c>
      <c r="AX10" t="s">
        <v>180</v>
      </c>
      <c r="BA10" cm="1">
        <f t="array" ref="BA10">fluidConvert($BA$2,$BB$2,BB10)</f>
        <v>5171.507548017853</v>
      </c>
      <c r="BB10" t="s">
        <v>199</v>
      </c>
      <c r="BE10" cm="1">
        <f t="array" ref="BE10">fluidConvert(BE$2,BF$2,BF10)</f>
        <v>3.8610215854244582E-7</v>
      </c>
      <c r="BF10" t="s">
        <v>229</v>
      </c>
      <c r="BI10" cm="1">
        <f t="array" ref="BI10">fluidConvert(BI$2,BJ$2,BJ10)</f>
        <v>2.3991275857892774E-10</v>
      </c>
      <c r="BJ10" t="s">
        <v>246</v>
      </c>
      <c r="BM10" cm="1">
        <f t="array" ref="BM10">fluidConvert(BM$2,BN$2,BN10)</f>
        <v>1.4907487683113597E-13</v>
      </c>
      <c r="BN10" t="s">
        <v>263</v>
      </c>
    </row>
    <row r="11" spans="2:66" x14ac:dyDescent="0.25">
      <c r="G11" cm="1">
        <f t="array" ref="G11">fluidConvert($G$2,$H$2,H11)</f>
        <v>7936.6479126615986</v>
      </c>
      <c r="H11" t="s">
        <v>40</v>
      </c>
      <c r="K11" cm="1">
        <f t="array" ref="K11">fluidConvert($K$2,$L$2,L11)</f>
        <v>360</v>
      </c>
      <c r="L11" t="s">
        <v>15</v>
      </c>
      <c r="S11" cm="1">
        <f t="array" ref="S11">fluidConvert($S$2,$T$2,T11,$S$3,$S$4)</f>
        <v>759.24348856640563</v>
      </c>
      <c r="T11" t="s">
        <v>52</v>
      </c>
      <c r="U11" cm="1">
        <f t="array" ref="U11">fluidConvert(S11,T11,V11,$S$3,$S$4)</f>
        <v>1</v>
      </c>
      <c r="V11" t="s">
        <v>37</v>
      </c>
      <c r="Y11" cm="1">
        <f t="array" ref="Y11">fluidConvert($Y$2,$Z$2,Z11,$Y$3,$Y$4)</f>
        <v>738.92839799960291</v>
      </c>
      <c r="Z11" t="s">
        <v>52</v>
      </c>
      <c r="AA11">
        <v>738.7079</v>
      </c>
      <c r="AB11">
        <f t="shared" si="0"/>
        <v>0.22049799960291239</v>
      </c>
      <c r="AN11" t="s">
        <v>92</v>
      </c>
      <c r="AO11" cm="1">
        <f t="array" ref="AO11">fluidConvert(AO10,AP10,AP11)</f>
        <v>3.6127298147753422E-5</v>
      </c>
      <c r="AP11" t="s">
        <v>29</v>
      </c>
      <c r="AS11" cm="1">
        <f t="array" ref="AS11">fluidConvert($AS$1,$AT$1,AT11)</f>
        <v>6.2137119223733397E-2</v>
      </c>
      <c r="AT11" t="s">
        <v>139</v>
      </c>
      <c r="AW11" cm="1">
        <f t="array" ref="AW11">fluidConvert($AW$2,$AX$2,AX11)</f>
        <v>529.67000000000007</v>
      </c>
      <c r="AX11" t="s">
        <v>181</v>
      </c>
      <c r="BA11" cm="1">
        <f t="array" ref="BA11">fluidConvert($BA$2,$BB$2,BB11)</f>
        <v>6.8045963909877738</v>
      </c>
      <c r="BB11" t="s">
        <v>200</v>
      </c>
      <c r="BE11" cm="1">
        <f t="array" ref="BE11">fluidConvert(BE$2,BF$2,BF11)</f>
        <v>9.9999999999999995E-7</v>
      </c>
      <c r="BF11" t="s">
        <v>230</v>
      </c>
      <c r="BI11" cm="1">
        <f t="array" ref="BI11">fluidConvert(BI$2,BJ$2,BJ11)</f>
        <v>1000000</v>
      </c>
      <c r="BJ11" t="s">
        <v>273</v>
      </c>
      <c r="BM11" cm="1">
        <f t="array" ref="BM11">fluidConvert(BM$2,BN$2,BN11)</f>
        <v>9.9999999999999998E-13</v>
      </c>
      <c r="BN11" t="s">
        <v>264</v>
      </c>
    </row>
    <row r="12" spans="2:66" x14ac:dyDescent="0.25">
      <c r="K12" cm="1">
        <f t="array" ref="K12">fluidConvert($K$2,$L$2,L12)</f>
        <v>6.102398242509306</v>
      </c>
      <c r="L12" t="s">
        <v>16</v>
      </c>
      <c r="S12" cm="1">
        <f t="array" ref="S12">fluidConvert($S$2,$T$2,T12,$S$3,$S$4)</f>
        <v>45554.609313984336</v>
      </c>
      <c r="T12" t="s">
        <v>53</v>
      </c>
      <c r="U12" cm="1">
        <f t="array" ref="U12">fluidConvert(S12,T12,V12,$S$3,$S$4)</f>
        <v>1</v>
      </c>
      <c r="V12" t="s">
        <v>37</v>
      </c>
      <c r="AK12" t="s">
        <v>126</v>
      </c>
      <c r="AS12" cm="1">
        <f t="array" ref="AS12">fluidConvert($AS$1,$AT$1,AT12)</f>
        <v>6</v>
      </c>
      <c r="AT12" t="s">
        <v>140</v>
      </c>
      <c r="BA12" cm="1">
        <f t="array" ref="BA12">fluidConvert($BA$2,$BB$2,BB12)</f>
        <v>689475.72931683622</v>
      </c>
      <c r="BB12" t="s">
        <v>3</v>
      </c>
      <c r="BE12" cm="1">
        <f t="array" ref="BE12">fluidConvert(BE$2,BF$2,BF12)</f>
        <v>1</v>
      </c>
      <c r="BF12" t="s">
        <v>231</v>
      </c>
      <c r="BI12" cm="1">
        <f t="array" ref="BI12">fluidConvert(BI$2,BJ$2,BJ12)</f>
        <v>1000000</v>
      </c>
      <c r="BJ12" t="s">
        <v>274</v>
      </c>
      <c r="BM12" cm="1">
        <f t="array" ref="BM12">fluidConvert(BM$2,BN$2,BN12)</f>
        <v>1</v>
      </c>
      <c r="BN12" t="s">
        <v>265</v>
      </c>
    </row>
    <row r="13" spans="2:66" x14ac:dyDescent="0.25">
      <c r="K13" cm="1">
        <f t="array" ref="K13">fluidConvert($K$2,$L$2,L13)</f>
        <v>366.14389455055834</v>
      </c>
      <c r="L13" t="s">
        <v>116</v>
      </c>
      <c r="S13" cm="1">
        <f t="array" ref="S13">fluidConvert($S$2,$T$2,T13,$S$3,$S$4)</f>
        <v>2733276.5588390599</v>
      </c>
      <c r="T13" t="s">
        <v>54</v>
      </c>
      <c r="U13" cm="1">
        <f t="array" ref="U13">fluidConvert(S13,T13,V13,$S$3,$S$4)</f>
        <v>0.99999999999999978</v>
      </c>
      <c r="V13" t="s">
        <v>37</v>
      </c>
      <c r="AK13" t="s">
        <v>23</v>
      </c>
      <c r="AL13" t="str" cm="1">
        <f t="array" ref="AL13">fluidUnitType(AK13)</f>
        <v>Volume Flow</v>
      </c>
      <c r="AN13" t="s">
        <v>93</v>
      </c>
      <c r="AO13">
        <f>AO5</f>
        <v>8.1071494665068376E-4</v>
      </c>
      <c r="AP13" t="s">
        <v>52</v>
      </c>
      <c r="AS13" cm="1">
        <f t="array" ref="AS13">fluidConvert($AS$1,$AT$1,AT13)</f>
        <v>6000</v>
      </c>
      <c r="AT13" t="s">
        <v>141</v>
      </c>
      <c r="BA13" cm="1">
        <f t="array" ref="BA13">fluidConvert($BA$2,$BB$2,BB13)</f>
        <v>689.47572931683624</v>
      </c>
      <c r="BB13" t="s">
        <v>70</v>
      </c>
      <c r="BE13" cm="1">
        <f t="array" ref="BE13">fluidConvert(BE$2,BF$2,BF13)</f>
        <v>10000</v>
      </c>
      <c r="BF13" t="s">
        <v>232</v>
      </c>
      <c r="BI13" cm="1">
        <f t="array" ref="BI13">fluidConvert(BI$2,BJ$2,BJ13)</f>
        <v>1000</v>
      </c>
      <c r="BJ13" t="s">
        <v>272</v>
      </c>
      <c r="BM13" cm="1">
        <f t="array" ref="BM13">fluidConvert(BM$2,BN$2,BN13)</f>
        <v>100000000</v>
      </c>
      <c r="BN13" t="s">
        <v>266</v>
      </c>
    </row>
    <row r="14" spans="2:66" x14ac:dyDescent="0.25">
      <c r="K14" cm="1">
        <f t="array" ref="K14">fluidConvert($K$2,$L$2,L14)</f>
        <v>21968.633673033502</v>
      </c>
      <c r="L14" t="s">
        <v>17</v>
      </c>
      <c r="S14" cm="1">
        <f t="array" ref="S14">fluidConvert($S$2,$T$2,T14,$S$3,$S$4)</f>
        <v>2.6812474875918382E-2</v>
      </c>
      <c r="T14" t="s">
        <v>55</v>
      </c>
      <c r="U14" cm="1">
        <f t="array" ref="U14">fluidConvert(S14,T14,V14,$S$3,$S$4)</f>
        <v>1</v>
      </c>
      <c r="V14" t="s">
        <v>37</v>
      </c>
      <c r="AK14" t="s">
        <v>10</v>
      </c>
      <c r="AL14" t="str" cm="1">
        <f t="array" ref="AL14">fluidUnitType(AK14)</f>
        <v>Volume Flow</v>
      </c>
      <c r="AN14" t="s">
        <v>94</v>
      </c>
      <c r="AO14" cm="1">
        <f t="array" ref="AO14">fluidConvert(AO13,AP13,AP14)</f>
        <v>4.8642896799041027E-5</v>
      </c>
      <c r="AP14" t="s">
        <v>50</v>
      </c>
      <c r="AS14" cm="1">
        <f t="array" ref="AS14">fluidConvert($AS$1,$AT$1,AT14)</f>
        <v>600000</v>
      </c>
      <c r="AT14" t="s">
        <v>142</v>
      </c>
      <c r="BA14" cm="1">
        <f t="array" ref="BA14">fluidConvert($BA$2,$BB$2,BB14)</f>
        <v>0.68947572931683621</v>
      </c>
      <c r="BB14" t="s">
        <v>201</v>
      </c>
      <c r="BE14" cm="1">
        <f t="array" ref="BE14">fluidConvert(BE$2,BF$2,BF14)</f>
        <v>1000000</v>
      </c>
      <c r="BF14" t="s">
        <v>233</v>
      </c>
      <c r="BI14" cm="1">
        <f t="array" ref="BI14">fluidConvert(BI$2,BJ$2,BJ14)</f>
        <v>264.17205235814845</v>
      </c>
      <c r="BJ14" t="s">
        <v>275</v>
      </c>
      <c r="BM14" cm="1">
        <f t="array" ref="BM14">fluidConvert(BM$2,BN$2,BN14)</f>
        <v>1000000000000</v>
      </c>
      <c r="BN14" t="s">
        <v>267</v>
      </c>
    </row>
    <row r="15" spans="2:66" x14ac:dyDescent="0.25">
      <c r="K15" cm="1">
        <f t="array" ref="K15">fluidConvert($K$2,$L$2,L15)</f>
        <v>3.5314724827664144E-3</v>
      </c>
      <c r="L15" t="s">
        <v>18</v>
      </c>
      <c r="S15" cm="1">
        <f t="array" ref="S15">fluidConvert($S$2,$T$2,T15,$S$3,$S$4)</f>
        <v>1.6087484925551028</v>
      </c>
      <c r="T15" t="s">
        <v>56</v>
      </c>
      <c r="U15" cm="1">
        <f t="array" ref="U15">fluidConvert(S15,T15,V15,$S$3,$S$4)</f>
        <v>1</v>
      </c>
      <c r="V15" t="s">
        <v>37</v>
      </c>
      <c r="AK15" t="s">
        <v>113</v>
      </c>
      <c r="AL15" t="str" cm="1">
        <f t="array" ref="AL15">fluidUnitType(AK15)</f>
        <v>Volume Flow</v>
      </c>
      <c r="AN15" t="s">
        <v>43</v>
      </c>
      <c r="AO15" t="str">
        <f>AO4</f>
        <v>N2</v>
      </c>
      <c r="AP15" t="s">
        <v>45</v>
      </c>
      <c r="AS15" cm="1">
        <f t="array" ref="AS15">fluidConvert($AS$1,$AT$1,AT15)</f>
        <v>6000000</v>
      </c>
      <c r="AT15" t="s">
        <v>143</v>
      </c>
      <c r="BA15" cm="1">
        <f t="array" ref="BA15">fluidConvert($BA$2,$BB$2,BB15)</f>
        <v>6.8947572931683625E-4</v>
      </c>
      <c r="BB15" t="s">
        <v>202</v>
      </c>
      <c r="BE15" cm="1">
        <f t="array" ref="BE15">fluidConvert(BE$2,BF$2,BF15)</f>
        <v>1550.0031000061999</v>
      </c>
      <c r="BF15" t="s">
        <v>234</v>
      </c>
      <c r="BI15" cm="1">
        <f t="array" ref="BI15">fluidConvert(BI$2,BJ$2,BJ15)</f>
        <v>1.0000000000000001E-9</v>
      </c>
      <c r="BJ15" t="s">
        <v>247</v>
      </c>
      <c r="BM15" cm="1">
        <f t="array" ref="BM15">fluidConvert(BM$2,BN$2,BN15)</f>
        <v>2402509.6100288299</v>
      </c>
      <c r="BN15" t="s">
        <v>268</v>
      </c>
    </row>
    <row r="16" spans="2:66" x14ac:dyDescent="0.25">
      <c r="K16" cm="1">
        <f t="array" ref="K16">fluidConvert($K$2,$L$2,L16)</f>
        <v>0.21188834896598488</v>
      </c>
      <c r="L16" t="s">
        <v>117</v>
      </c>
      <c r="S16" cm="1">
        <f t="array" ref="S16">fluidConvert($S$2,$T$2,T16,$S$3,$S$4)</f>
        <v>166795.42068951364</v>
      </c>
      <c r="T16" t="s">
        <v>57</v>
      </c>
      <c r="U16" cm="1">
        <f t="array" ref="U16">fluidConvert(S16,T16,V16,$S$3,$S$4)</f>
        <v>1</v>
      </c>
      <c r="V16" t="s">
        <v>37</v>
      </c>
      <c r="AK16" t="s">
        <v>11</v>
      </c>
      <c r="AL16" t="str" cm="1">
        <f t="array" ref="AL16">fluidUnitType(AK16)</f>
        <v>Volume Flow</v>
      </c>
      <c r="AN16" t="s">
        <v>63</v>
      </c>
      <c r="AO16" cm="1">
        <f t="array" ref="AO16">fluidConvert(AO13,AP13,AP16,AO15)</f>
        <v>1.0000000000000002E-6</v>
      </c>
      <c r="AP16" t="s">
        <v>37</v>
      </c>
      <c r="AS16" cm="1">
        <f t="array" ref="AS16">fluidConvert($AS$1,$AT$1,AT16)</f>
        <v>236220.47244094487</v>
      </c>
      <c r="AT16" t="s">
        <v>144</v>
      </c>
      <c r="BA16" cm="1">
        <f t="array" ref="BA16">fluidConvert($BA$2,$BB$2,BB16)</f>
        <v>5171.4932571507088</v>
      </c>
      <c r="BB16" t="s">
        <v>203</v>
      </c>
      <c r="BE16" cm="1">
        <f t="array" ref="BE16">fluidConvert(BE$2,BF$2,BF16)</f>
        <v>10.763910416709722</v>
      </c>
      <c r="BF16" t="s">
        <v>235</v>
      </c>
      <c r="BI16" cm="1">
        <f t="array" ref="BI16">fluidConvert(BI$2,BJ$2,BJ16)</f>
        <v>1</v>
      </c>
      <c r="BJ16" t="s">
        <v>248</v>
      </c>
      <c r="BM16" cm="1">
        <f t="array" ref="BM16">fluidConvert(BM$2,BN$2,BN16)</f>
        <v>115.86176745895206</v>
      </c>
      <c r="BN16" t="s">
        <v>269</v>
      </c>
    </row>
    <row r="17" spans="11:66" x14ac:dyDescent="0.25">
      <c r="K17" cm="1">
        <f t="array" ref="K17">fluidConvert($K$2,$L$2,L17)</f>
        <v>12.713300937959092</v>
      </c>
      <c r="L17" t="s">
        <v>19</v>
      </c>
      <c r="S17" cm="1">
        <f t="array" ref="S17">fluidConvert($S$2,$T$2,T17,$S$3,$S$4)</f>
        <v>46.332061302642678</v>
      </c>
      <c r="T17" t="s">
        <v>58</v>
      </c>
      <c r="U17" cm="1">
        <f t="array" ref="U17">fluidConvert(S17,T17,V17,$S$3,$S$4)</f>
        <v>1</v>
      </c>
      <c r="V17" t="s">
        <v>37</v>
      </c>
      <c r="AK17" t="s">
        <v>12</v>
      </c>
      <c r="AL17" t="str" cm="1">
        <f t="array" ref="AL17">fluidUnitType(AK17)</f>
        <v>Volume Flow</v>
      </c>
      <c r="AS17" cm="1">
        <f t="array" ref="AS17">fluidConvert($AS$1,$AT$1,AT17)</f>
        <v>19685.039370078739</v>
      </c>
      <c r="AT17" t="s">
        <v>145</v>
      </c>
      <c r="BA17" cm="1">
        <f t="array" ref="BA17">fluidConvert($BA$2,$BB$2,BB17)</f>
        <v>5171.4932571507088</v>
      </c>
      <c r="BB17" t="s">
        <v>205</v>
      </c>
      <c r="BE17" cm="1">
        <f t="array" ref="BE17">fluidConvert(BE$2,BF$2,BF17)</f>
        <v>1.1959900463010802</v>
      </c>
      <c r="BF17" t="s">
        <v>236</v>
      </c>
      <c r="BI17" cm="1">
        <f t="array" ref="BI17">fluidConvert(BI$2,BJ$2,BJ17)</f>
        <v>1000000</v>
      </c>
      <c r="BJ17" t="s">
        <v>249</v>
      </c>
      <c r="BM17" cm="1">
        <f t="array" ref="BM17">fluidConvert(BM$2,BN$2,BN17)</f>
        <v>1.43039219085126</v>
      </c>
      <c r="BN17" t="s">
        <v>270</v>
      </c>
    </row>
    <row r="18" spans="11:66" x14ac:dyDescent="0.25">
      <c r="K18" cm="1">
        <f t="array" ref="K18">fluidConvert($K$2,$L$2,L18)</f>
        <v>2.6417200000000005E-2</v>
      </c>
      <c r="L18" t="s">
        <v>20</v>
      </c>
      <c r="S18" cm="1">
        <f t="array" ref="S18">fluidConvert($S$2,$T$2,T18,$S$3,$S$4)</f>
        <v>2779.9236781585605</v>
      </c>
      <c r="T18" t="s">
        <v>59</v>
      </c>
      <c r="U18" cm="1">
        <f t="array" ref="U18">fluidConvert(S18,T18,V18,$S$3,$S$4)</f>
        <v>1</v>
      </c>
      <c r="V18" t="s">
        <v>37</v>
      </c>
      <c r="AK18" t="s">
        <v>114</v>
      </c>
      <c r="AL18" t="str" cm="1">
        <f t="array" ref="AL18">fluidUnitType(AK18)</f>
        <v>Volume Flow</v>
      </c>
      <c r="AS18" cm="1">
        <f t="array" ref="AS18">fluidConvert($AS$1,$AT$1,AT18)</f>
        <v>6561.6797900262463</v>
      </c>
      <c r="AT18" t="s">
        <v>146</v>
      </c>
      <c r="BA18" cm="1">
        <f t="array" ref="BA18">fluidConvert($BA$2,$BB$2,BB18)</f>
        <v>6.8947572931683618</v>
      </c>
      <c r="BB18" t="s">
        <v>204</v>
      </c>
      <c r="BE18" cm="1">
        <f t="array" ref="BE18">fluidConvert(BE$2,BF$2,BF18)</f>
        <v>3.8610215854244582E-7</v>
      </c>
      <c r="BF18" t="s">
        <v>237</v>
      </c>
      <c r="BI18" cm="1">
        <f t="array" ref="BI18">fluidConvert(BI$2,BJ$2,BJ18)</f>
        <v>1000000000</v>
      </c>
      <c r="BJ18" t="s">
        <v>250</v>
      </c>
      <c r="BM18" cm="1">
        <f t="array" ref="BM18">fluidConvert(BM$2,BN$2,BN18)</f>
        <v>1.4907487683113597E-13</v>
      </c>
      <c r="BN18" t="s">
        <v>271</v>
      </c>
    </row>
    <row r="19" spans="11:66" x14ac:dyDescent="0.25">
      <c r="K19" cm="1">
        <f t="array" ref="K19">fluidConvert($K$2,$L$2,L19)</f>
        <v>1.5850320000000002</v>
      </c>
      <c r="L19" t="s">
        <v>118</v>
      </c>
      <c r="S19" cm="1">
        <f t="array" ref="S19">fluidConvert($S$2,$T$2,T19,$S$3,$S$4)</f>
        <v>166795.42068951364</v>
      </c>
      <c r="T19" t="s">
        <v>60</v>
      </c>
      <c r="U19" cm="1">
        <f t="array" ref="U19">fluidConvert(S19,T19,V19,$S$3,$S$4)</f>
        <v>1</v>
      </c>
      <c r="V19" t="s">
        <v>37</v>
      </c>
      <c r="AK19" t="s">
        <v>13</v>
      </c>
      <c r="AL19" t="str" cm="1">
        <f t="array" ref="AL19">fluidUnitType(AK19)</f>
        <v>Volume Flow</v>
      </c>
      <c r="AS19" cm="1">
        <f t="array" ref="AS19">fluidConvert($AS$1,$AT$1,AT19)</f>
        <v>3.7282271534240037</v>
      </c>
      <c r="AT19" t="s">
        <v>147</v>
      </c>
      <c r="BI19" cm="1">
        <f t="array" ref="BI19">fluidConvert(BI$2,BJ$2,BJ19)</f>
        <v>61023.744094732283</v>
      </c>
      <c r="BJ19" t="s">
        <v>251</v>
      </c>
      <c r="BM19" t="str" cm="1">
        <f t="array" ref="BM19">fluidConvert(BM$2,BN$2,BN19)</f>
        <v>Cannot convert Moment of Inertia to Length</v>
      </c>
      <c r="BN19" t="s">
        <v>97</v>
      </c>
    </row>
    <row r="20" spans="11:66" x14ac:dyDescent="0.25">
      <c r="K20" cm="1">
        <f t="array" ref="K20">fluidConvert($K$2,$L$2,L20)</f>
        <v>95.101920000000007</v>
      </c>
      <c r="L20" t="s">
        <v>21</v>
      </c>
      <c r="AK20" t="s">
        <v>14</v>
      </c>
      <c r="AL20" t="str" cm="1">
        <f t="array" ref="AL20">fluidUnitType(AK20)</f>
        <v>Volume Flow</v>
      </c>
      <c r="AS20" cm="1">
        <f t="array" ref="AS20">fluidConvert($AS$1,$AT$1,AT20)</f>
        <v>360</v>
      </c>
      <c r="AT20" t="s">
        <v>148</v>
      </c>
      <c r="BI20" cm="1">
        <f t="array" ref="BI20">fluidConvert(BI$2,BJ$2,BJ20)</f>
        <v>35.314666721488592</v>
      </c>
      <c r="BJ20" t="s">
        <v>252</v>
      </c>
    </row>
    <row r="21" spans="11:66" x14ac:dyDescent="0.25">
      <c r="R21" t="s">
        <v>22</v>
      </c>
      <c r="S21">
        <v>1</v>
      </c>
      <c r="T21" t="s">
        <v>37</v>
      </c>
      <c r="AK21" t="s">
        <v>115</v>
      </c>
      <c r="AL21" t="str" cm="1">
        <f t="array" ref="AL21">fluidUnitType(AK21)</f>
        <v>Volume Flow</v>
      </c>
      <c r="AS21" cm="1">
        <f t="array" ref="AS21">fluidConvert($AS$1,$AT$1,AT21)</f>
        <v>360000</v>
      </c>
      <c r="AT21" t="s">
        <v>149</v>
      </c>
      <c r="BI21" cm="1">
        <f t="array" ref="BI21">fluidConvert(BI$2,BJ$2,BJ21)</f>
        <v>1.3079506193143922</v>
      </c>
      <c r="BJ21" t="s">
        <v>253</v>
      </c>
    </row>
    <row r="22" spans="11:66" x14ac:dyDescent="0.25">
      <c r="R22" t="s">
        <v>43</v>
      </c>
      <c r="S22" t="s">
        <v>44</v>
      </c>
      <c r="T22" t="s">
        <v>45</v>
      </c>
      <c r="AK22" t="s">
        <v>15</v>
      </c>
      <c r="AL22" t="str" cm="1">
        <f t="array" ref="AL22">fluidUnitType(AK22)</f>
        <v>Volume Flow</v>
      </c>
      <c r="AS22" cm="1">
        <f t="array" ref="AS22">fluidConvert($AS$1,$AT$1,AT22)</f>
        <v>36000000</v>
      </c>
      <c r="AT22" t="s">
        <v>150</v>
      </c>
      <c r="BI22" cm="1">
        <f t="array" ref="BI22">fluidConvert(BI$2,BJ$2,BJ22)</f>
        <v>2.3991275857892774E-10</v>
      </c>
      <c r="BJ22" t="s">
        <v>254</v>
      </c>
    </row>
    <row r="23" spans="11:66" x14ac:dyDescent="0.25">
      <c r="R23" t="s">
        <v>0</v>
      </c>
      <c r="S23" t="s">
        <v>61</v>
      </c>
      <c r="T23" t="s">
        <v>45</v>
      </c>
      <c r="AK23" t="s">
        <v>16</v>
      </c>
      <c r="AL23" t="str" cm="1">
        <f t="array" ref="AL23">fluidUnitType(AK23)</f>
        <v>Volume Flow</v>
      </c>
      <c r="AS23" cm="1">
        <f t="array" ref="AS23">fluidConvert($AS$1,$AT$1,AT23)</f>
        <v>360000000</v>
      </c>
      <c r="AT23" t="s">
        <v>151</v>
      </c>
    </row>
    <row r="24" spans="11:66" x14ac:dyDescent="0.25">
      <c r="R24">
        <v>14.7</v>
      </c>
      <c r="S24" t="s">
        <v>95</v>
      </c>
      <c r="T24" cm="1">
        <f t="array" ref="T24">fluidConvert(R24,S24,U24)</f>
        <v>101352.93220957491</v>
      </c>
      <c r="U24" t="s">
        <v>3</v>
      </c>
      <c r="AK24" t="s">
        <v>116</v>
      </c>
      <c r="AL24" t="str" cm="1">
        <f t="array" ref="AL24">fluidUnitType(AK24)</f>
        <v>Volume Flow</v>
      </c>
      <c r="AS24" cm="1">
        <f t="array" ref="AS24">fluidConvert($AS$1,$AT$1,AT24)</f>
        <v>14173228.346456693</v>
      </c>
      <c r="AT24" t="s">
        <v>152</v>
      </c>
    </row>
    <row r="25" spans="11:66" x14ac:dyDescent="0.25">
      <c r="R25">
        <v>70</v>
      </c>
      <c r="S25" t="s">
        <v>62</v>
      </c>
      <c r="T25" cm="1">
        <f t="array" ref="T25">fluidConvert(R25,S25,U25)</f>
        <v>294.26111111111106</v>
      </c>
      <c r="U25" t="s">
        <v>2</v>
      </c>
      <c r="AK25" t="s">
        <v>17</v>
      </c>
      <c r="AL25" t="str" cm="1">
        <f t="array" ref="AL25">fluidUnitType(AK25)</f>
        <v>Volume Flow</v>
      </c>
      <c r="AS25" cm="1">
        <f t="array" ref="AS25">fluidConvert($AS$1,$AT$1,AT25)</f>
        <v>1181102.3622047245</v>
      </c>
      <c r="AT25" t="s">
        <v>153</v>
      </c>
    </row>
    <row r="26" spans="11:66" x14ac:dyDescent="0.25">
      <c r="S26" cm="1">
        <f t="array" ref="S26">fluidConvert($S$21,$T$21,T26,$S$22,$S$23,$T$24,$T$25)</f>
        <v>7.5871931037131679E-4</v>
      </c>
      <c r="T26" t="s">
        <v>46</v>
      </c>
      <c r="U26" cm="1">
        <f t="array" ref="U26">fluidConvert(S26,T26,V26,$S$22,$S$23,$T$24,$T$25)</f>
        <v>1</v>
      </c>
      <c r="V26" t="s">
        <v>37</v>
      </c>
      <c r="AK26" t="s">
        <v>18</v>
      </c>
      <c r="AL26" t="str" cm="1">
        <f t="array" ref="AL26">fluidUnitType(AK26)</f>
        <v>Volume Flow</v>
      </c>
      <c r="AS26" cm="1">
        <f t="array" ref="AS26">fluidConvert($AS$1,$AT$1,AT26)</f>
        <v>393700.78740157478</v>
      </c>
      <c r="AT26" t="s">
        <v>154</v>
      </c>
    </row>
    <row r="27" spans="11:66" x14ac:dyDescent="0.25">
      <c r="S27" cm="1">
        <f t="array" ref="S27">fluidConvert($S$21,$T$21,T27,$S$22,$S$23,$T$24,$T$25)</f>
        <v>4.5523158622279007E-2</v>
      </c>
      <c r="T27" t="s">
        <v>47</v>
      </c>
      <c r="U27" cm="1">
        <f t="array" ref="U27">fluidConvert(S27,T27,V27,$S$22,$S$23,$T$24,$T$25)</f>
        <v>1</v>
      </c>
      <c r="V27" t="s">
        <v>37</v>
      </c>
      <c r="AK27" t="s">
        <v>117</v>
      </c>
      <c r="AL27" t="str" cm="1">
        <f t="array" ref="AL27">fluidUnitType(AK27)</f>
        <v>Volume Flow</v>
      </c>
      <c r="AS27" cm="1">
        <f t="array" ref="AS27">fluidConvert($AS$1,$AT$1,AT27)</f>
        <v>223.69362920544023</v>
      </c>
      <c r="AT27" t="s">
        <v>155</v>
      </c>
    </row>
    <row r="28" spans="11:66" x14ac:dyDescent="0.25">
      <c r="S28" cm="1">
        <f t="array" ref="S28">fluidConvert($S$21,$T$21,T28,$S$22,$S$23,$T$24,$T$25)</f>
        <v>2.7313895173367406</v>
      </c>
      <c r="T28" t="s">
        <v>48</v>
      </c>
      <c r="U28" cm="1">
        <f t="array" ref="U28">fluidConvert(S28,T28,V28,$S$22,$S$23,$T$24,$T$25)</f>
        <v>1</v>
      </c>
      <c r="V28" t="s">
        <v>37</v>
      </c>
      <c r="AK28" t="s">
        <v>19</v>
      </c>
      <c r="AL28" t="str" cm="1">
        <f t="array" ref="AL28">fluidUnitType(AK28)</f>
        <v>Volume Flow</v>
      </c>
      <c r="AS28" cm="1">
        <f t="array" ref="AS28">fluidConvert($AS$1,$AT$1,AT28)</f>
        <v>223.69362920544023</v>
      </c>
      <c r="AT28" t="s">
        <v>124</v>
      </c>
    </row>
    <row r="29" spans="11:66" x14ac:dyDescent="0.25">
      <c r="S29" cm="1">
        <f t="array" ref="S29">fluidConvert($S$21,$T$21,T29,$S$22,$S$23,$T$24,$T$25)</f>
        <v>0.75871931037131679</v>
      </c>
      <c r="T29" t="s">
        <v>49</v>
      </c>
      <c r="U29" cm="1">
        <f t="array" ref="U29">fluidConvert(S29,T29,V29,$S$22,$S$23,$T$24,$T$25)</f>
        <v>1</v>
      </c>
      <c r="V29" t="s">
        <v>37</v>
      </c>
      <c r="AK29" t="s">
        <v>20</v>
      </c>
      <c r="AL29" t="str" cm="1">
        <f t="array" ref="AL29">fluidUnitType(AK29)</f>
        <v>Volume Flow</v>
      </c>
    </row>
    <row r="30" spans="11:66" x14ac:dyDescent="0.25">
      <c r="S30" cm="1">
        <f t="array" ref="S30">fluidConvert($S$21,$T$21,T30,$S$22,$S$23,$T$24,$T$25)</f>
        <v>45.523158622279006</v>
      </c>
      <c r="T30" t="s">
        <v>50</v>
      </c>
      <c r="U30" cm="1">
        <f t="array" ref="U30">fluidConvert(S30,T30,V30,$S$22,$S$23,$T$24,$T$25)</f>
        <v>1</v>
      </c>
      <c r="V30" t="s">
        <v>37</v>
      </c>
      <c r="AK30" t="s">
        <v>123</v>
      </c>
      <c r="AL30" t="str" cm="1">
        <f t="array" ref="AL30">fluidUnitType(AK30)</f>
        <v>Volume Flow</v>
      </c>
    </row>
    <row r="31" spans="11:66" x14ac:dyDescent="0.25">
      <c r="S31" cm="1">
        <f t="array" ref="S31">fluidConvert($S$21,$T$21,T31,$S$22,$S$23,$T$24,$T$25)</f>
        <v>2731.3895173367405</v>
      </c>
      <c r="T31" t="s">
        <v>51</v>
      </c>
      <c r="U31" cm="1">
        <f t="array" ref="U31">fluidConvert(S31,T31,V31,$S$22,$S$23,$T$24,$T$25)</f>
        <v>1</v>
      </c>
      <c r="V31" t="s">
        <v>37</v>
      </c>
      <c r="AK31" t="s">
        <v>118</v>
      </c>
      <c r="AL31" t="str" cm="1">
        <f t="array" ref="AL31">fluidUnitType(AK31)</f>
        <v>Volume Flow</v>
      </c>
    </row>
    <row r="32" spans="11:66" x14ac:dyDescent="0.25">
      <c r="S32" cm="1">
        <f t="array" ref="S32">fluidConvert($S$21,$T$21,T32,$S$22,$S$23,$T$24,$T$25)</f>
        <v>758.71931037131674</v>
      </c>
      <c r="T32" t="s">
        <v>52</v>
      </c>
      <c r="U32" cm="1">
        <f t="array" ref="U32">fluidConvert(S32,T32,V32,$S$22,$S$23,$T$24,$T$25)</f>
        <v>0.99999999999999978</v>
      </c>
      <c r="V32" t="s">
        <v>37</v>
      </c>
      <c r="AK32" t="s">
        <v>119</v>
      </c>
      <c r="AL32" t="str" cm="1">
        <f t="array" ref="AL32">fluidUnitType(AK32)</f>
        <v>Volume Flow</v>
      </c>
    </row>
    <row r="33" spans="19:38" x14ac:dyDescent="0.25">
      <c r="S33" cm="1">
        <f t="array" ref="S33">fluidConvert($S$21,$T$21,T33,$S$22,$S$23,$T$24,$T$25)</f>
        <v>45523.158622279007</v>
      </c>
      <c r="T33" t="s">
        <v>53</v>
      </c>
      <c r="U33" cm="1">
        <f t="array" ref="U33">fluidConvert(S33,T33,V33,$S$22,$S$23,$T$24,$T$25)</f>
        <v>1</v>
      </c>
      <c r="V33" t="s">
        <v>37</v>
      </c>
      <c r="AK33" t="s">
        <v>21</v>
      </c>
      <c r="AL33" t="str" cm="1">
        <f t="array" ref="AL33">fluidUnitType(AK33)</f>
        <v>Volume Flow</v>
      </c>
    </row>
    <row r="34" spans="19:38" x14ac:dyDescent="0.25">
      <c r="S34" cm="1">
        <f t="array" ref="S34">fluidConvert($S$21,$T$21,T34,$S$22,$S$23,$T$24,$T$25)</f>
        <v>2731389.5173367406</v>
      </c>
      <c r="T34" t="s">
        <v>54</v>
      </c>
      <c r="U34" cm="1">
        <f t="array" ref="U34">fluidConvert(S34,T34,V34,$S$22,$S$23,$T$24,$T$25)</f>
        <v>1</v>
      </c>
      <c r="V34" t="s">
        <v>37</v>
      </c>
    </row>
    <row r="35" spans="19:38" x14ac:dyDescent="0.25">
      <c r="S35" cm="1">
        <f t="array" ref="S35">fluidConvert($S$21,$T$21,T35,$S$22,$S$23,$T$24,$T$25)</f>
        <v>2.6793963667198158E-2</v>
      </c>
      <c r="T35" t="s">
        <v>55</v>
      </c>
      <c r="U35" cm="1">
        <f t="array" ref="U35">fluidConvert(S35,T35,V35,$S$22,$S$23,$T$24,$T$25)</f>
        <v>1</v>
      </c>
      <c r="V35" t="s">
        <v>37</v>
      </c>
      <c r="AK35" t="s">
        <v>127</v>
      </c>
    </row>
    <row r="36" spans="19:38" x14ac:dyDescent="0.25">
      <c r="S36" cm="1">
        <f t="array" ref="S36">fluidConvert($S$21,$T$21,T36,$S$22,$S$23,$T$24,$T$25)</f>
        <v>1.6076378200318895</v>
      </c>
      <c r="T36" t="s">
        <v>56</v>
      </c>
      <c r="U36" cm="1">
        <f t="array" ref="U36">fluidConvert(S36,T36,V36,$S$22,$S$23,$T$24,$T$25)</f>
        <v>1</v>
      </c>
      <c r="V36" t="s">
        <v>37</v>
      </c>
      <c r="AK36" t="s">
        <v>24</v>
      </c>
      <c r="AL36" t="str" cm="1">
        <f t="array" ref="AL36">fluidUnitType(AK36)</f>
        <v>Density</v>
      </c>
    </row>
    <row r="37" spans="19:38" x14ac:dyDescent="0.25">
      <c r="S37" cm="1">
        <f t="array" ref="S37">fluidConvert($S$21,$T$21,T37,$S$22,$S$23,$T$24,$T$25)</f>
        <v>166680.26590204067</v>
      </c>
      <c r="T37" t="s">
        <v>57</v>
      </c>
      <c r="U37" cm="1">
        <f t="array" ref="U37">fluidConvert(S37,T37,V37,$S$22,$S$23,$T$24,$T$25)</f>
        <v>1</v>
      </c>
      <c r="V37" t="s">
        <v>37</v>
      </c>
      <c r="AK37" t="s">
        <v>24</v>
      </c>
      <c r="AL37" t="str" cm="1">
        <f t="array" ref="AL37">fluidUnitType(AK37)</f>
        <v>Density</v>
      </c>
    </row>
    <row r="38" spans="19:38" x14ac:dyDescent="0.25">
      <c r="S38" cm="1">
        <f t="array" ref="S38">fluidConvert($S$21,$T$21,T38,$S$22,$S$23,$T$24,$T$25)</f>
        <v>46.300073861677959</v>
      </c>
      <c r="T38" t="s">
        <v>58</v>
      </c>
      <c r="U38" cm="1">
        <f t="array" ref="U38">fluidConvert(S38,T38,V38,$S$22,$S$23,$T$24,$T$25)</f>
        <v>1</v>
      </c>
      <c r="V38" t="s">
        <v>37</v>
      </c>
      <c r="AK38" t="s">
        <v>25</v>
      </c>
      <c r="AL38" t="str" cm="1">
        <f t="array" ref="AL38">fluidUnitType(AK38)</f>
        <v>Density</v>
      </c>
    </row>
    <row r="39" spans="19:38" x14ac:dyDescent="0.25">
      <c r="S39" cm="1">
        <f t="array" ref="S39">fluidConvert($S$21,$T$21,T39,$S$22,$S$23,$T$24,$T$25)</f>
        <v>2778.0044317006777</v>
      </c>
      <c r="T39" t="s">
        <v>59</v>
      </c>
      <c r="U39" cm="1">
        <f t="array" ref="U39">fluidConvert(S39,T39,V39,$S$22,$S$23,$T$24,$T$25)</f>
        <v>1</v>
      </c>
      <c r="V39" t="s">
        <v>37</v>
      </c>
      <c r="AK39" t="s">
        <v>26</v>
      </c>
      <c r="AL39" t="str" cm="1">
        <f t="array" ref="AL39">fluidUnitType(AK39)</f>
        <v>Density</v>
      </c>
    </row>
    <row r="40" spans="19:38" x14ac:dyDescent="0.25">
      <c r="S40" cm="1">
        <f t="array" ref="S40">fluidConvert($S$21,$T$21,T40,$S$22,$S$23,$T$24,$T$25)</f>
        <v>166680.26590204067</v>
      </c>
      <c r="T40" t="s">
        <v>60</v>
      </c>
      <c r="U40" cm="1">
        <f t="array" ref="U40">fluidConvert(S40,T40,V40,$S$22,$S$23,$T$24,$T$25)</f>
        <v>1</v>
      </c>
      <c r="V40" t="s">
        <v>37</v>
      </c>
      <c r="AK40" t="s">
        <v>27</v>
      </c>
      <c r="AL40" t="str" cm="1">
        <f t="array" ref="AL40">fluidUnitType(AK40)</f>
        <v>Density</v>
      </c>
    </row>
    <row r="41" spans="19:38" x14ac:dyDescent="0.25">
      <c r="AK41" t="s">
        <v>28</v>
      </c>
      <c r="AL41" t="str" cm="1">
        <f t="array" ref="AL41">fluidUnitType(AK41)</f>
        <v>Density</v>
      </c>
    </row>
    <row r="42" spans="19:38" x14ac:dyDescent="0.25">
      <c r="AK42" t="s">
        <v>29</v>
      </c>
      <c r="AL42" t="str" cm="1">
        <f t="array" ref="AL42">fluidUnitType(AK42)</f>
        <v>Density</v>
      </c>
    </row>
    <row r="43" spans="19:38" x14ac:dyDescent="0.25">
      <c r="AK43" t="s">
        <v>30</v>
      </c>
      <c r="AL43" t="str" cm="1">
        <f t="array" ref="AL43">fluidUnitType(AK43)</f>
        <v>Density</v>
      </c>
    </row>
    <row r="44" spans="19:38" x14ac:dyDescent="0.25">
      <c r="AK44" t="s">
        <v>31</v>
      </c>
      <c r="AL44" t="str" cm="1">
        <f t="array" ref="AL44">fluidUnitType(AK44)</f>
        <v>Density</v>
      </c>
    </row>
    <row r="46" spans="19:38" x14ac:dyDescent="0.25">
      <c r="AK46" t="s">
        <v>128</v>
      </c>
    </row>
    <row r="47" spans="19:38" x14ac:dyDescent="0.25">
      <c r="AK47" t="s">
        <v>46</v>
      </c>
      <c r="AL47" t="str" cm="1">
        <f t="array" ref="AL47">fluidUnitType(AK47)</f>
        <v>Standard Volume Flow</v>
      </c>
    </row>
    <row r="48" spans="19:38" x14ac:dyDescent="0.25">
      <c r="AK48" t="s">
        <v>47</v>
      </c>
      <c r="AL48" t="str" cm="1">
        <f t="array" ref="AL48">fluidUnitType(AK48)</f>
        <v>Standard Volume Flow</v>
      </c>
    </row>
    <row r="49" spans="37:38" x14ac:dyDescent="0.25">
      <c r="AK49" t="s">
        <v>48</v>
      </c>
      <c r="AL49" t="str" cm="1">
        <f t="array" ref="AL49">fluidUnitType(AK49)</f>
        <v>Standard Volume Flow</v>
      </c>
    </row>
    <row r="50" spans="37:38" x14ac:dyDescent="0.25">
      <c r="AK50" t="s">
        <v>49</v>
      </c>
      <c r="AL50" t="str" cm="1">
        <f t="array" ref="AL50">fluidUnitType(AK50)</f>
        <v>Standard Volume Flow</v>
      </c>
    </row>
    <row r="51" spans="37:38" x14ac:dyDescent="0.25">
      <c r="AK51" t="s">
        <v>50</v>
      </c>
      <c r="AL51" t="str" cm="1">
        <f t="array" ref="AL51">fluidUnitType(AK51)</f>
        <v>Standard Volume Flow</v>
      </c>
    </row>
    <row r="52" spans="37:38" x14ac:dyDescent="0.25">
      <c r="AK52" t="s">
        <v>51</v>
      </c>
      <c r="AL52" t="str" cm="1">
        <f t="array" ref="AL52">fluidUnitType(AK52)</f>
        <v>Standard Volume Flow</v>
      </c>
    </row>
    <row r="53" spans="37:38" x14ac:dyDescent="0.25">
      <c r="AK53" t="s">
        <v>52</v>
      </c>
      <c r="AL53" t="str" cm="1">
        <f t="array" ref="AL53">fluidUnitType(AK53)</f>
        <v>Standard Volume Flow</v>
      </c>
    </row>
    <row r="54" spans="37:38" x14ac:dyDescent="0.25">
      <c r="AK54" t="s">
        <v>53</v>
      </c>
      <c r="AL54" t="str" cm="1">
        <f t="array" ref="AL54">fluidUnitType(AK54)</f>
        <v>Standard Volume Flow</v>
      </c>
    </row>
    <row r="55" spans="37:38" x14ac:dyDescent="0.25">
      <c r="AK55" t="s">
        <v>54</v>
      </c>
      <c r="AL55" t="str" cm="1">
        <f t="array" ref="AL55">fluidUnitType(AK55)</f>
        <v>Standard Volume Flow</v>
      </c>
    </row>
    <row r="56" spans="37:38" x14ac:dyDescent="0.25">
      <c r="AK56" t="s">
        <v>55</v>
      </c>
      <c r="AL56" t="str" cm="1">
        <f t="array" ref="AL56">fluidUnitType(AK56)</f>
        <v>Standard Volume Flow</v>
      </c>
    </row>
    <row r="57" spans="37:38" x14ac:dyDescent="0.25">
      <c r="AK57" t="s">
        <v>56</v>
      </c>
      <c r="AL57" t="str" cm="1">
        <f t="array" ref="AL57">fluidUnitType(AK57)</f>
        <v>Standard Volume Flow</v>
      </c>
    </row>
    <row r="58" spans="37:38" x14ac:dyDescent="0.25">
      <c r="AK58" t="s">
        <v>57</v>
      </c>
      <c r="AL58" t="str" cm="1">
        <f t="array" ref="AL58">fluidUnitType(AK58)</f>
        <v>Standard Volume Flow</v>
      </c>
    </row>
    <row r="59" spans="37:38" x14ac:dyDescent="0.25">
      <c r="AK59" t="s">
        <v>58</v>
      </c>
      <c r="AL59" t="str" cm="1">
        <f t="array" ref="AL59">fluidUnitType(AK59)</f>
        <v>Standard Volume Flow</v>
      </c>
    </row>
    <row r="60" spans="37:38" x14ac:dyDescent="0.25">
      <c r="AK60" t="s">
        <v>59</v>
      </c>
      <c r="AL60" t="str" cm="1">
        <f t="array" ref="AL60">fluidUnitType(AK60)</f>
        <v>Standard Volume Flow</v>
      </c>
    </row>
    <row r="61" spans="37:38" x14ac:dyDescent="0.25">
      <c r="AK61" t="s">
        <v>60</v>
      </c>
      <c r="AL61" t="str" cm="1">
        <f t="array" ref="AL61">fluidUnitType(AK61)</f>
        <v>Standard Volume Flow</v>
      </c>
    </row>
    <row r="63" spans="37:38" x14ac:dyDescent="0.25">
      <c r="AK63" t="s">
        <v>129</v>
      </c>
    </row>
    <row r="64" spans="37:38" x14ac:dyDescent="0.25">
      <c r="AK64" t="s">
        <v>84</v>
      </c>
      <c r="AL64" t="str" cm="1">
        <f t="array" ref="AL64">fluidUnitType(AK64)</f>
        <v>Unit Error, floogle not recognized</v>
      </c>
    </row>
    <row r="66" spans="37:38" x14ac:dyDescent="0.25">
      <c r="AK66" t="s">
        <v>130</v>
      </c>
    </row>
    <row r="67" spans="37:38" x14ac:dyDescent="0.25">
      <c r="AK67" t="s">
        <v>99</v>
      </c>
      <c r="AL67" t="str" cm="1">
        <f t="array" ref="AL67">fluidUnitType(AK67)</f>
        <v>Length</v>
      </c>
    </row>
    <row r="68" spans="37:38" x14ac:dyDescent="0.25">
      <c r="AK68" t="s">
        <v>97</v>
      </c>
      <c r="AL68" t="str" cm="1">
        <f t="array" ref="AL68">fluidUnitType(AK68)</f>
        <v>Length</v>
      </c>
    </row>
    <row r="69" spans="37:38" x14ac:dyDescent="0.25">
      <c r="AK69" t="s">
        <v>100</v>
      </c>
      <c r="AL69" t="str" cm="1">
        <f t="array" ref="AL69">fluidUnitType(AK69)</f>
        <v>Length</v>
      </c>
    </row>
    <row r="70" spans="37:38" x14ac:dyDescent="0.25">
      <c r="AK70" t="s">
        <v>98</v>
      </c>
      <c r="AL70" t="str" cm="1">
        <f t="array" ref="AL70">fluidUnitType(AK70)</f>
        <v>Length</v>
      </c>
    </row>
    <row r="71" spans="37:38" x14ac:dyDescent="0.25">
      <c r="AK71" t="s">
        <v>101</v>
      </c>
      <c r="AL71" t="str" cm="1">
        <f t="array" ref="AL71">fluidUnitType(AK71)</f>
        <v>Length</v>
      </c>
    </row>
    <row r="72" spans="37:38" x14ac:dyDescent="0.25">
      <c r="AK72" t="s">
        <v>102</v>
      </c>
      <c r="AL72" t="str" cm="1">
        <f t="array" ref="AL72">fluidUnitType(AK72)</f>
        <v>Length</v>
      </c>
    </row>
    <row r="73" spans="37:38" x14ac:dyDescent="0.25">
      <c r="AK73" t="s">
        <v>103</v>
      </c>
      <c r="AL73" t="str" cm="1">
        <f t="array" ref="AL73">fluidUnitType(AK73)</f>
        <v>Length</v>
      </c>
    </row>
    <row r="74" spans="37:38" x14ac:dyDescent="0.25">
      <c r="AK74" t="s">
        <v>104</v>
      </c>
      <c r="AL74" t="str" cm="1">
        <f t="array" ref="AL74">fluidUnitType(AK74)</f>
        <v>Length</v>
      </c>
    </row>
    <row r="76" spans="37:38" x14ac:dyDescent="0.25">
      <c r="AK76" t="s">
        <v>131</v>
      </c>
    </row>
    <row r="77" spans="37:38" x14ac:dyDescent="0.25">
      <c r="AK77" t="s">
        <v>107</v>
      </c>
      <c r="AL77" t="str" cm="1">
        <f t="array" ref="AL77">fluidUnitType(AK77)</f>
        <v>Time</v>
      </c>
    </row>
    <row r="78" spans="37:38" x14ac:dyDescent="0.25">
      <c r="AK78" t="s">
        <v>108</v>
      </c>
      <c r="AL78" t="str" cm="1">
        <f t="array" ref="AL78">fluidUnitType(AK78)</f>
        <v>Time</v>
      </c>
    </row>
    <row r="79" spans="37:38" x14ac:dyDescent="0.25">
      <c r="AK79" t="s">
        <v>109</v>
      </c>
      <c r="AL79" t="str" cm="1">
        <f t="array" ref="AL79">fluidUnitType(AK79)</f>
        <v>Time</v>
      </c>
    </row>
    <row r="81" spans="37:38" x14ac:dyDescent="0.25">
      <c r="AK81" t="s">
        <v>156</v>
      </c>
    </row>
    <row r="82" spans="37:38" x14ac:dyDescent="0.25">
      <c r="AK82" t="s">
        <v>132</v>
      </c>
      <c r="AL82" t="str" cm="1">
        <f t="array" ref="AL82">fluidUnitType(AK82)</f>
        <v>Speed</v>
      </c>
    </row>
    <row r="83" spans="37:38" x14ac:dyDescent="0.25">
      <c r="AK83" t="s">
        <v>133</v>
      </c>
      <c r="AL83" t="str" cm="1">
        <f t="array" ref="AL83">fluidUnitType(AK83)</f>
        <v>Speed</v>
      </c>
    </row>
    <row r="84" spans="37:38" x14ac:dyDescent="0.25">
      <c r="AK84" t="s">
        <v>134</v>
      </c>
      <c r="AL84" t="str" cm="1">
        <f t="array" ref="AL84">fluidUnitType(AK84)</f>
        <v>Speed</v>
      </c>
    </row>
    <row r="85" spans="37:38" x14ac:dyDescent="0.25">
      <c r="AK85" t="s">
        <v>135</v>
      </c>
      <c r="AL85" t="str" cm="1">
        <f t="array" ref="AL85">fluidUnitType(AK85)</f>
        <v>Speed</v>
      </c>
    </row>
    <row r="86" spans="37:38" x14ac:dyDescent="0.25">
      <c r="AK86" t="s">
        <v>136</v>
      </c>
      <c r="AL86" t="str" cm="1">
        <f t="array" ref="AL86">fluidUnitType(AK86)</f>
        <v>Speed</v>
      </c>
    </row>
    <row r="87" spans="37:38" x14ac:dyDescent="0.25">
      <c r="AK87" t="s">
        <v>137</v>
      </c>
      <c r="AL87" t="str" cm="1">
        <f t="array" ref="AL87">fluidUnitType(AK87)</f>
        <v>Speed</v>
      </c>
    </row>
    <row r="88" spans="37:38" x14ac:dyDescent="0.25">
      <c r="AK88" t="s">
        <v>138</v>
      </c>
      <c r="AL88" t="str" cm="1">
        <f t="array" ref="AL88">fluidUnitType(AK88)</f>
        <v>Speed</v>
      </c>
    </row>
    <row r="89" spans="37:38" x14ac:dyDescent="0.25">
      <c r="AK89" t="s">
        <v>139</v>
      </c>
      <c r="AL89" t="str" cm="1">
        <f t="array" ref="AL89">fluidUnitType(AK89)</f>
        <v>Speed</v>
      </c>
    </row>
    <row r="90" spans="37:38" x14ac:dyDescent="0.25">
      <c r="AK90" t="s">
        <v>140</v>
      </c>
      <c r="AL90" t="str" cm="1">
        <f t="array" ref="AL90">fluidUnitType(AK90)</f>
        <v>Speed</v>
      </c>
    </row>
    <row r="91" spans="37:38" x14ac:dyDescent="0.25">
      <c r="AK91" t="s">
        <v>141</v>
      </c>
      <c r="AL91" t="str" cm="1">
        <f t="array" ref="AL91">fluidUnitType(AK91)</f>
        <v>Speed</v>
      </c>
    </row>
    <row r="92" spans="37:38" x14ac:dyDescent="0.25">
      <c r="AK92" t="s">
        <v>142</v>
      </c>
      <c r="AL92" t="str" cm="1">
        <f t="array" ref="AL92">fluidUnitType(AK92)</f>
        <v>Speed</v>
      </c>
    </row>
    <row r="93" spans="37:38" x14ac:dyDescent="0.25">
      <c r="AK93" t="s">
        <v>143</v>
      </c>
      <c r="AL93" t="str" cm="1">
        <f t="array" ref="AL93">fluidUnitType(AK93)</f>
        <v>Speed</v>
      </c>
    </row>
    <row r="94" spans="37:38" x14ac:dyDescent="0.25">
      <c r="AK94" t="s">
        <v>144</v>
      </c>
      <c r="AL94" t="str" cm="1">
        <f t="array" ref="AL94">fluidUnitType(AK94)</f>
        <v>Speed</v>
      </c>
    </row>
    <row r="95" spans="37:38" x14ac:dyDescent="0.25">
      <c r="AK95" t="s">
        <v>145</v>
      </c>
      <c r="AL95" t="str" cm="1">
        <f t="array" ref="AL95">fluidUnitType(AK95)</f>
        <v>Speed</v>
      </c>
    </row>
    <row r="96" spans="37:38" x14ac:dyDescent="0.25">
      <c r="AK96" t="s">
        <v>146</v>
      </c>
      <c r="AL96" t="str" cm="1">
        <f t="array" ref="AL96">fluidUnitType(AK96)</f>
        <v>Speed</v>
      </c>
    </row>
    <row r="97" spans="37:38" x14ac:dyDescent="0.25">
      <c r="AK97" t="s">
        <v>147</v>
      </c>
      <c r="AL97" t="str" cm="1">
        <f t="array" ref="AL97">fluidUnitType(AK97)</f>
        <v>Speed</v>
      </c>
    </row>
    <row r="98" spans="37:38" x14ac:dyDescent="0.25">
      <c r="AK98" t="s">
        <v>148</v>
      </c>
      <c r="AL98" t="str" cm="1">
        <f t="array" ref="AL98">fluidUnitType(AK98)</f>
        <v>Speed</v>
      </c>
    </row>
    <row r="99" spans="37:38" x14ac:dyDescent="0.25">
      <c r="AK99" t="s">
        <v>149</v>
      </c>
      <c r="AL99" t="str" cm="1">
        <f t="array" ref="AL99">fluidUnitType(AK99)</f>
        <v>Speed</v>
      </c>
    </row>
    <row r="100" spans="37:38" x14ac:dyDescent="0.25">
      <c r="AK100" t="s">
        <v>150</v>
      </c>
      <c r="AL100" t="str" cm="1">
        <f t="array" ref="AL100">fluidUnitType(AK100)</f>
        <v>Speed</v>
      </c>
    </row>
    <row r="101" spans="37:38" x14ac:dyDescent="0.25">
      <c r="AK101" t="s">
        <v>151</v>
      </c>
      <c r="AL101" t="str" cm="1">
        <f t="array" ref="AL101">fluidUnitType(AK101)</f>
        <v>Speed</v>
      </c>
    </row>
    <row r="102" spans="37:38" x14ac:dyDescent="0.25">
      <c r="AK102" t="s">
        <v>152</v>
      </c>
      <c r="AL102" t="str" cm="1">
        <f t="array" ref="AL102">fluidUnitType(AK102)</f>
        <v>Speed</v>
      </c>
    </row>
    <row r="103" spans="37:38" x14ac:dyDescent="0.25">
      <c r="AK103" t="s">
        <v>153</v>
      </c>
      <c r="AL103" t="str" cm="1">
        <f t="array" ref="AL103">fluidUnitType(AK103)</f>
        <v>Speed</v>
      </c>
    </row>
    <row r="104" spans="37:38" x14ac:dyDescent="0.25">
      <c r="AK104" t="s">
        <v>154</v>
      </c>
      <c r="AL104" t="str" cm="1">
        <f t="array" ref="AL104">fluidUnitType(AK104)</f>
        <v>Speed</v>
      </c>
    </row>
    <row r="105" spans="37:38" x14ac:dyDescent="0.25">
      <c r="AK105" t="s">
        <v>155</v>
      </c>
      <c r="AL105" t="str" cm="1">
        <f t="array" ref="AL105">fluidUnitType(AK105)</f>
        <v>Speed</v>
      </c>
    </row>
    <row r="106" spans="37:38" x14ac:dyDescent="0.25">
      <c r="AK106" t="s">
        <v>124</v>
      </c>
      <c r="AL106" t="str" cm="1">
        <f t="array" ref="AL106">fluidUnitType(AK106)</f>
        <v>Speed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256AF-A8CB-4544-9509-47F85F2EFBE6}">
  <sheetPr codeName="Sheet4"/>
  <dimension ref="A1:J13"/>
  <sheetViews>
    <sheetView workbookViewId="0">
      <selection activeCell="E16" sqref="E16"/>
    </sheetView>
  </sheetViews>
  <sheetFormatPr defaultRowHeight="15" x14ac:dyDescent="0.25"/>
  <cols>
    <col min="1" max="1" width="16.42578125" bestFit="1" customWidth="1"/>
    <col min="2" max="2" width="18.85546875" bestFit="1" customWidth="1"/>
    <col min="3" max="3" width="14" bestFit="1" customWidth="1"/>
    <col min="4" max="4" width="15.7109375" bestFit="1" customWidth="1"/>
    <col min="5" max="5" width="19.28515625" bestFit="1" customWidth="1"/>
    <col min="6" max="6" width="15.42578125" bestFit="1" customWidth="1"/>
  </cols>
  <sheetData>
    <row r="1" spans="1:10" x14ac:dyDescent="0.25">
      <c r="A1" t="s">
        <v>281</v>
      </c>
      <c r="B1" t="s">
        <v>282</v>
      </c>
      <c r="C1" t="s">
        <v>283</v>
      </c>
      <c r="D1" t="s">
        <v>284</v>
      </c>
      <c r="E1" t="s">
        <v>302</v>
      </c>
      <c r="F1" t="s">
        <v>285</v>
      </c>
      <c r="G1" t="s">
        <v>286</v>
      </c>
      <c r="H1" t="s">
        <v>287</v>
      </c>
      <c r="I1" t="s">
        <v>288</v>
      </c>
      <c r="J1" t="s">
        <v>289</v>
      </c>
    </row>
    <row r="2" spans="1:10" x14ac:dyDescent="0.25">
      <c r="A2" t="s">
        <v>290</v>
      </c>
      <c r="B2">
        <v>0.5</v>
      </c>
      <c r="C2">
        <v>0.1</v>
      </c>
      <c r="D2">
        <v>0.1</v>
      </c>
      <c r="E2">
        <v>0.03</v>
      </c>
      <c r="F2" t="s">
        <v>291</v>
      </c>
      <c r="G2" cm="1">
        <f t="array" ref="G2">GDT_Position($B2,$C2,$D2,$E2,$F2,G$1)</f>
        <v>0.4</v>
      </c>
      <c r="H2" cm="1">
        <f t="array" ref="H2">GDT_Position($B2,$C2,$D2,$E2,$F2,H$1)</f>
        <v>0.6</v>
      </c>
      <c r="I2" cm="1">
        <f t="array" ref="I2">GDT_Position($B2,$C2,$D2,$E2,$F2,I$1)</f>
        <v>0.37</v>
      </c>
      <c r="J2" cm="1">
        <f t="array" ref="J2">GDT_Position($B2,$C2,$D2,$E2,$F2,J$1)</f>
        <v>0.63</v>
      </c>
    </row>
    <row r="3" spans="1:10" x14ac:dyDescent="0.25">
      <c r="A3" t="s">
        <v>297</v>
      </c>
      <c r="B3">
        <v>0.5</v>
      </c>
      <c r="C3">
        <v>0.1</v>
      </c>
      <c r="D3">
        <v>0.1</v>
      </c>
      <c r="E3">
        <v>0.03</v>
      </c>
      <c r="F3" t="s">
        <v>292</v>
      </c>
      <c r="G3" cm="1">
        <f t="array" ref="G3">GDT_Position($B3,$C3,$D3,$E3,$F3,G$1)</f>
        <v>0.4</v>
      </c>
      <c r="H3" cm="1">
        <f t="array" ref="H3">GDT_Position($B3,$C3,$D3,$E3,$F3,H$1)</f>
        <v>0.6</v>
      </c>
      <c r="I3" cm="1">
        <f t="array" ref="I3">GDT_Position($B3,$C3,$D3,$E3,$F3,I$1)</f>
        <v>0.37</v>
      </c>
      <c r="J3" cm="1">
        <f t="array" ref="J3">GDT_Position($B3,$C3,$D3,$E3,$F3,J$1)</f>
        <v>0.83</v>
      </c>
    </row>
    <row r="4" spans="1:10" x14ac:dyDescent="0.25">
      <c r="A4" t="s">
        <v>298</v>
      </c>
      <c r="B4">
        <v>0.5</v>
      </c>
      <c r="C4">
        <v>0.1</v>
      </c>
      <c r="D4">
        <v>0.1</v>
      </c>
      <c r="E4">
        <v>0.03</v>
      </c>
      <c r="F4" t="s">
        <v>293</v>
      </c>
      <c r="G4" cm="1">
        <f t="array" ref="G4">GDT_Position($B4,$C4,$D4,$E4,$F4,G$1)</f>
        <v>0.4</v>
      </c>
      <c r="H4" cm="1">
        <f t="array" ref="H4">GDT_Position($B4,$C4,$D4,$E4,$F4,H$1)</f>
        <v>0.6</v>
      </c>
      <c r="I4" cm="1">
        <f t="array" ref="I4">GDT_Position($B4,$C4,$D4,$E4,$F4,I$1)</f>
        <v>0.63</v>
      </c>
      <c r="J4" cm="1">
        <f t="array" ref="J4">GDT_Position($B4,$C4,$D4,$E4,$F4,J$1)</f>
        <v>0.17</v>
      </c>
    </row>
    <row r="5" spans="1:10" x14ac:dyDescent="0.25">
      <c r="A5" t="s">
        <v>299</v>
      </c>
      <c r="B5">
        <v>0.5</v>
      </c>
      <c r="C5">
        <v>0.1</v>
      </c>
      <c r="D5">
        <v>0.1</v>
      </c>
      <c r="E5">
        <v>0.03</v>
      </c>
      <c r="F5" t="s">
        <v>294</v>
      </c>
      <c r="G5" cm="1">
        <f t="array" ref="G5">GDT_Position($B5,$C5,$D5,$E5,$F5,G$1)</f>
        <v>0.6</v>
      </c>
      <c r="H5" cm="1">
        <f t="array" ref="H5">GDT_Position($B5,$C5,$D5,$E5,$F5,H$1)</f>
        <v>0.4</v>
      </c>
      <c r="I5" cm="1">
        <f t="array" ref="I5">GDT_Position($B5,$C5,$D5,$E5,$F5,I$1)</f>
        <v>0.63</v>
      </c>
      <c r="J5" cm="1">
        <f t="array" ref="J5">GDT_Position($B5,$C5,$D5,$E5,$F5,J$1)</f>
        <v>0.37</v>
      </c>
    </row>
    <row r="6" spans="1:10" x14ac:dyDescent="0.25">
      <c r="A6" t="s">
        <v>300</v>
      </c>
      <c r="B6">
        <v>0.5</v>
      </c>
      <c r="C6">
        <v>0.1</v>
      </c>
      <c r="D6">
        <v>0.1</v>
      </c>
      <c r="E6">
        <v>0.03</v>
      </c>
      <c r="F6" t="s">
        <v>295</v>
      </c>
      <c r="G6" cm="1">
        <f t="array" ref="G6">GDT_Position($B6,$C6,$D6,$E6,$F6,G$1)</f>
        <v>0.6</v>
      </c>
      <c r="H6" cm="1">
        <f t="array" ref="H6">GDT_Position($B6,$C6,$D6,$E6,$F6,H$1)</f>
        <v>0.4</v>
      </c>
      <c r="I6" cm="1">
        <f t="array" ref="I6">GDT_Position($B6,$C6,$D6,$E6,$F6,I$1)</f>
        <v>0.63</v>
      </c>
      <c r="J6" cm="1">
        <f t="array" ref="J6">GDT_Position($B6,$C6,$D6,$E6,$F6,J$1)</f>
        <v>0.17</v>
      </c>
    </row>
    <row r="7" spans="1:10" x14ac:dyDescent="0.25">
      <c r="A7" t="s">
        <v>301</v>
      </c>
      <c r="B7">
        <v>0.5</v>
      </c>
      <c r="C7">
        <v>0.1</v>
      </c>
      <c r="D7">
        <v>0.1</v>
      </c>
      <c r="E7">
        <v>0.03</v>
      </c>
      <c r="F7" t="s">
        <v>296</v>
      </c>
      <c r="G7" cm="1">
        <f t="array" ref="G7">GDT_Position($B7,$C7,$D7,$E7,$F7,G$1)</f>
        <v>0.6</v>
      </c>
      <c r="H7" cm="1">
        <f t="array" ref="H7">GDT_Position($B7,$C7,$D7,$E7,$F7,H$1)</f>
        <v>0.4</v>
      </c>
      <c r="I7" cm="1">
        <f t="array" ref="I7">GDT_Position($B7,$C7,$D7,$E7,$F7,I$1)</f>
        <v>0.37</v>
      </c>
      <c r="J7" cm="1">
        <f t="array" ref="J7">GDT_Position($B7,$C7,$D7,$E7,$F7,J$1)</f>
        <v>0.83</v>
      </c>
    </row>
    <row r="8" spans="1:10" x14ac:dyDescent="0.25">
      <c r="A8" t="s">
        <v>309</v>
      </c>
      <c r="B8">
        <v>0.5</v>
      </c>
      <c r="C8">
        <v>0.1</v>
      </c>
      <c r="D8">
        <v>0.1</v>
      </c>
      <c r="E8">
        <v>0.03</v>
      </c>
      <c r="F8" t="s">
        <v>306</v>
      </c>
      <c r="G8" cm="1">
        <f t="array" ref="G8">GDT_Position($B8,$C8,$D8,$E8,$F8,G$1)</f>
        <v>0.4</v>
      </c>
      <c r="H8" cm="1">
        <f t="array" ref="H8">GDT_Position($B8,$C8,$D8,$E8,$F8,H$1)</f>
        <v>0.6</v>
      </c>
      <c r="I8" cm="1">
        <f t="array" ref="I8">GDT_Position($B8,$C8,$D8,$E8,$F8,I$1)</f>
        <v>0.37</v>
      </c>
      <c r="J8" cm="1">
        <f t="array" ref="J8">GDT_Position($B8,$C8,$D8,$E8,$F8,J$1)</f>
        <v>0.63</v>
      </c>
    </row>
    <row r="9" spans="1:10" x14ac:dyDescent="0.25">
      <c r="A9" t="s">
        <v>310</v>
      </c>
      <c r="B9">
        <v>0.5</v>
      </c>
      <c r="C9">
        <v>0.1</v>
      </c>
      <c r="D9">
        <v>0.1</v>
      </c>
      <c r="E9">
        <v>0.03</v>
      </c>
      <c r="F9" t="s">
        <v>307</v>
      </c>
      <c r="G9" cm="1">
        <f t="array" ref="G9">GDT_Position($B9,$C9,$D9,$E9,$F9,G$1)</f>
        <v>0.4</v>
      </c>
      <c r="H9" cm="1">
        <f t="array" ref="H9">GDT_Position($B9,$C9,$D9,$E9,$F9,H$1)</f>
        <v>0.6</v>
      </c>
      <c r="I9" cm="1">
        <f t="array" ref="I9">GDT_Position($B9,$C9,$D9,$E9,$F9,I$1)</f>
        <v>0.37</v>
      </c>
      <c r="J9" cm="1">
        <f t="array" ref="J9">GDT_Position($B9,$C9,$D9,$E9,$F9,J$1)</f>
        <v>0.83</v>
      </c>
    </row>
    <row r="10" spans="1:10" x14ac:dyDescent="0.25">
      <c r="A10" t="s">
        <v>311</v>
      </c>
      <c r="B10">
        <v>0.5</v>
      </c>
      <c r="C10">
        <v>0.1</v>
      </c>
      <c r="D10">
        <v>0.1</v>
      </c>
      <c r="E10">
        <v>0.03</v>
      </c>
      <c r="F10" t="s">
        <v>308</v>
      </c>
      <c r="G10" cm="1">
        <f t="array" ref="G10">GDT_Position($B10,$C10,$D10,$E10,$F10,G$1)</f>
        <v>0.4</v>
      </c>
      <c r="H10" cm="1">
        <f t="array" ref="H10">GDT_Position($B10,$C10,$D10,$E10,$F10,H$1)</f>
        <v>0.6</v>
      </c>
      <c r="I10" cm="1">
        <f t="array" ref="I10">GDT_Position($B10,$C10,$D10,$E10,$F10,I$1)</f>
        <v>0.63</v>
      </c>
      <c r="J10" cm="1">
        <f t="array" ref="J10">GDT_Position($B10,$C10,$D10,$E10,$F10,J$1)</f>
        <v>0.17</v>
      </c>
    </row>
    <row r="11" spans="1:10" x14ac:dyDescent="0.25">
      <c r="A11" t="s">
        <v>312</v>
      </c>
      <c r="B11">
        <v>0.5</v>
      </c>
      <c r="C11">
        <v>0.1</v>
      </c>
      <c r="D11">
        <v>0.1</v>
      </c>
      <c r="E11">
        <v>0.03</v>
      </c>
      <c r="F11" t="s">
        <v>303</v>
      </c>
      <c r="G11" cm="1">
        <f t="array" ref="G11">GDT_Position($B11,$C11,$D11,$E11,$F11,G$1)</f>
        <v>0.6</v>
      </c>
      <c r="H11" cm="1">
        <f t="array" ref="H11">GDT_Position($B11,$C11,$D11,$E11,$F11,H$1)</f>
        <v>0.4</v>
      </c>
      <c r="I11" cm="1">
        <f t="array" ref="I11">GDT_Position($B11,$C11,$D11,$E11,$F11,I$1)</f>
        <v>0.63</v>
      </c>
      <c r="J11" cm="1">
        <f t="array" ref="J11">GDT_Position($B11,$C11,$D11,$E11,$F11,J$1)</f>
        <v>0.37</v>
      </c>
    </row>
    <row r="12" spans="1:10" x14ac:dyDescent="0.25">
      <c r="A12" t="s">
        <v>313</v>
      </c>
      <c r="B12">
        <v>0.5</v>
      </c>
      <c r="C12">
        <v>0.1</v>
      </c>
      <c r="D12">
        <v>0.1</v>
      </c>
      <c r="E12">
        <v>0.03</v>
      </c>
      <c r="F12" t="s">
        <v>304</v>
      </c>
      <c r="G12" cm="1">
        <f t="array" ref="G12">GDT_Position($B12,$C12,$D12,$E12,$F12,G$1)</f>
        <v>0.6</v>
      </c>
      <c r="H12" cm="1">
        <f t="array" ref="H12">GDT_Position($B12,$C12,$D12,$E12,$F12,H$1)</f>
        <v>0.4</v>
      </c>
      <c r="I12" cm="1">
        <f t="array" ref="I12">GDT_Position($B12,$C12,$D12,$E12,$F12,I$1)</f>
        <v>0.63</v>
      </c>
      <c r="J12" cm="1">
        <f t="array" ref="J12">GDT_Position($B12,$C12,$D12,$E12,$F12,J$1)</f>
        <v>0.17</v>
      </c>
    </row>
    <row r="13" spans="1:10" x14ac:dyDescent="0.25">
      <c r="A13" t="s">
        <v>314</v>
      </c>
      <c r="B13">
        <v>0.5</v>
      </c>
      <c r="C13">
        <v>0.1</v>
      </c>
      <c r="D13">
        <v>0.1</v>
      </c>
      <c r="E13">
        <v>0.03</v>
      </c>
      <c r="F13" t="s">
        <v>305</v>
      </c>
      <c r="G13" cm="1">
        <f t="array" ref="G13">GDT_Position($B13,$C13,$D13,$E13,$F13,G$1)</f>
        <v>0.6</v>
      </c>
      <c r="H13" cm="1">
        <f t="array" ref="H13">GDT_Position($B13,$C13,$D13,$E13,$F13,H$1)</f>
        <v>0.4</v>
      </c>
      <c r="I13" cm="1">
        <f t="array" ref="I13">GDT_Position($B13,$C13,$D13,$E13,$F13,I$1)</f>
        <v>0.37</v>
      </c>
      <c r="J13" cm="1">
        <f t="array" ref="J13">GDT_Position($B13,$C13,$D13,$E13,$F13,J$1)</f>
        <v>0.83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77C9E-7FE3-4FB7-8E1D-9D5FE6E1746A}">
  <sheetPr codeName="Sheet5"/>
  <dimension ref="A1:V46"/>
  <sheetViews>
    <sheetView tabSelected="1" workbookViewId="0">
      <selection activeCell="D15" sqref="D15"/>
    </sheetView>
  </sheetViews>
  <sheetFormatPr defaultRowHeight="15" x14ac:dyDescent="0.25"/>
  <cols>
    <col min="1" max="1" width="44.5703125" bestFit="1" customWidth="1"/>
    <col min="2" max="2" width="41.7109375" bestFit="1" customWidth="1"/>
    <col min="3" max="3" width="10.28515625" bestFit="1" customWidth="1"/>
    <col min="5" max="5" width="51.42578125" bestFit="1" customWidth="1"/>
    <col min="6" max="6" width="20.42578125" bestFit="1" customWidth="1"/>
    <col min="7" max="7" width="19.42578125" bestFit="1" customWidth="1"/>
    <col min="10" max="10" width="35.140625" bestFit="1" customWidth="1"/>
    <col min="11" max="11" width="20.42578125" bestFit="1" customWidth="1"/>
    <col min="12" max="12" width="21.5703125" customWidth="1"/>
    <col min="14" max="14" width="35.140625" bestFit="1" customWidth="1"/>
    <col min="15" max="15" width="53.140625" bestFit="1" customWidth="1"/>
    <col min="18" max="18" width="14" bestFit="1" customWidth="1"/>
  </cols>
  <sheetData>
    <row r="1" spans="1:22" x14ac:dyDescent="0.25">
      <c r="A1" s="8" t="s">
        <v>692</v>
      </c>
      <c r="B1" s="8" t="s">
        <v>553</v>
      </c>
      <c r="C1" s="8" t="s">
        <v>45</v>
      </c>
    </row>
    <row r="2" spans="1:22" x14ac:dyDescent="0.25">
      <c r="A2" s="26" t="s">
        <v>484</v>
      </c>
      <c r="B2" s="8" t="str" cm="1">
        <f t="array" ref="B2">Read_NAS1352(B1,A2)</f>
        <v>4–40 or 0.112–40 UNC CLASS 3</v>
      </c>
      <c r="C2" s="8" t="s">
        <v>45</v>
      </c>
      <c r="E2" t="s">
        <v>458</v>
      </c>
      <c r="F2" s="8">
        <v>30457924.923343934</v>
      </c>
      <c r="G2" t="s">
        <v>95</v>
      </c>
      <c r="N2" s="8" t="s">
        <v>458</v>
      </c>
      <c r="O2" s="9">
        <f>S5</f>
        <v>30457924.923343934</v>
      </c>
      <c r="P2" s="8" t="s">
        <v>95</v>
      </c>
    </row>
    <row r="3" spans="1:22" x14ac:dyDescent="0.25">
      <c r="A3" s="8" t="s">
        <v>714</v>
      </c>
      <c r="B3" s="8" cm="1">
        <f t="array" ref="B3">Bolt_ThreadDimensions(B2,A3)</f>
        <v>0.1069</v>
      </c>
      <c r="C3" s="8" t="s">
        <v>101</v>
      </c>
      <c r="E3" t="s">
        <v>711</v>
      </c>
      <c r="F3">
        <v>160000</v>
      </c>
      <c r="G3" t="s">
        <v>95</v>
      </c>
      <c r="N3" s="8" t="s">
        <v>459</v>
      </c>
      <c r="O3" s="10">
        <f>O12</f>
        <v>3.1820918060966576E-2</v>
      </c>
      <c r="P3" s="8" t="s">
        <v>218</v>
      </c>
    </row>
    <row r="4" spans="1:22" x14ac:dyDescent="0.25">
      <c r="A4" s="8" t="s">
        <v>705</v>
      </c>
      <c r="B4" s="8">
        <v>40</v>
      </c>
      <c r="C4" s="8" t="s">
        <v>317</v>
      </c>
      <c r="E4" t="s">
        <v>712</v>
      </c>
      <c r="F4" s="2">
        <f>F3/SQRT(3)</f>
        <v>92376.043070340122</v>
      </c>
      <c r="G4" t="s">
        <v>95</v>
      </c>
      <c r="K4" s="8" t="s">
        <v>449</v>
      </c>
      <c r="L4" s="8" t="s">
        <v>448</v>
      </c>
      <c r="N4" s="8" t="s">
        <v>460</v>
      </c>
      <c r="O4" s="8" cm="1">
        <f t="array" ref="O4">Bolt_NASA_Config1_L(K5:K7)</f>
        <v>1.5</v>
      </c>
      <c r="P4" s="8" t="s">
        <v>101</v>
      </c>
      <c r="R4" t="s">
        <v>455</v>
      </c>
      <c r="S4" cm="1">
        <f t="array" ref="S4">fluidConvert(U4,V4,T4)</f>
        <v>9993100.1296114139</v>
      </c>
      <c r="T4" t="s">
        <v>95</v>
      </c>
      <c r="U4">
        <v>68.900000000000006</v>
      </c>
      <c r="V4" t="s">
        <v>202</v>
      </c>
    </row>
    <row r="5" spans="1:22" x14ac:dyDescent="0.25">
      <c r="A5" s="8" t="s">
        <v>713</v>
      </c>
      <c r="B5" s="8" cm="1">
        <f t="array" ref="B5">Bolt_ThreadDimensions(B2,A5)</f>
        <v>9.3899999999999997E-2</v>
      </c>
      <c r="C5" s="8" t="s">
        <v>101</v>
      </c>
      <c r="J5" s="8" t="s">
        <v>445</v>
      </c>
      <c r="K5" s="8">
        <v>0.5</v>
      </c>
      <c r="L5" s="8">
        <v>30457924.923343934</v>
      </c>
      <c r="N5" s="8" t="s">
        <v>461</v>
      </c>
      <c r="O5" s="9" cm="1">
        <f t="array" ref="O5">Bolt_CircularRodAxialStiffness(O2,O3,O4)</f>
        <v>646132.75552853267</v>
      </c>
      <c r="P5" s="8" t="s">
        <v>453</v>
      </c>
      <c r="R5" t="s">
        <v>454</v>
      </c>
      <c r="S5" cm="1">
        <f t="array" ref="S5">fluidConvert(U5,V5,T5)</f>
        <v>30457924.923343934</v>
      </c>
      <c r="T5" t="s">
        <v>95</v>
      </c>
      <c r="U5">
        <v>210</v>
      </c>
      <c r="V5" t="s">
        <v>202</v>
      </c>
    </row>
    <row r="6" spans="1:22" x14ac:dyDescent="0.25">
      <c r="A6" s="8" t="s">
        <v>318</v>
      </c>
      <c r="B6" s="31" cm="1">
        <f t="array" ref="B6">Bolt_TensileStressArea(B3,B4)</f>
        <v>5.3511252728701388E-3</v>
      </c>
      <c r="C6" s="8" t="s">
        <v>218</v>
      </c>
      <c r="E6" t="s">
        <v>696</v>
      </c>
      <c r="F6" t="s">
        <v>449</v>
      </c>
      <c r="G6" s="8" t="s">
        <v>448</v>
      </c>
      <c r="J6" s="8" t="s">
        <v>446</v>
      </c>
      <c r="K6" s="8">
        <v>0.5</v>
      </c>
      <c r="L6" s="8">
        <v>9993100.1296114139</v>
      </c>
      <c r="N6" s="8" t="s">
        <v>457</v>
      </c>
      <c r="O6" s="9" cm="1">
        <f t="array" ref="O6">Bolt_NASA_BoltStiffness(O10,O11,O4,O2)</f>
        <v>646132.75552853267</v>
      </c>
      <c r="P6" s="8" t="s">
        <v>453</v>
      </c>
    </row>
    <row r="7" spans="1:22" x14ac:dyDescent="0.25">
      <c r="E7" t="s">
        <v>445</v>
      </c>
      <c r="F7">
        <v>0.1</v>
      </c>
      <c r="G7" s="8">
        <v>9993100.1296114139</v>
      </c>
      <c r="J7" s="8" t="s">
        <v>447</v>
      </c>
      <c r="K7" s="8">
        <v>0.5</v>
      </c>
      <c r="L7" s="8">
        <v>9993100.1296114139</v>
      </c>
      <c r="N7" s="8" t="s">
        <v>462</v>
      </c>
      <c r="O7" s="10" cm="1">
        <f t="array" ref="O7">Bolt_NASA_StiffnessFactor(O6,K12)</f>
        <v>0.14629631263963805</v>
      </c>
      <c r="P7" s="8" t="s">
        <v>220</v>
      </c>
    </row>
    <row r="8" spans="1:22" x14ac:dyDescent="0.25">
      <c r="A8" s="8" t="s">
        <v>473</v>
      </c>
      <c r="B8" s="8">
        <v>5.2</v>
      </c>
      <c r="C8" s="8" t="s">
        <v>475</v>
      </c>
      <c r="E8" t="s">
        <v>697</v>
      </c>
      <c r="F8">
        <v>0.2</v>
      </c>
      <c r="G8" s="8">
        <v>30457924.923343934</v>
      </c>
    </row>
    <row r="9" spans="1:22" x14ac:dyDescent="0.25">
      <c r="J9" s="36" t="s">
        <v>468</v>
      </c>
      <c r="K9" s="36"/>
      <c r="L9" s="36"/>
    </row>
    <row r="10" spans="1:22" x14ac:dyDescent="0.25">
      <c r="A10" s="8" t="s">
        <v>695</v>
      </c>
      <c r="B10" s="8">
        <v>1</v>
      </c>
      <c r="C10" s="8" t="s">
        <v>101</v>
      </c>
      <c r="J10" s="8" t="s">
        <v>450</v>
      </c>
      <c r="K10" s="8" cm="1">
        <f t="array" ref="K10">Bolt_NASA_Config1_L(K5:K7)</f>
        <v>1.5</v>
      </c>
      <c r="L10" s="8" t="s">
        <v>101</v>
      </c>
      <c r="N10" s="8" t="s">
        <v>315</v>
      </c>
      <c r="O10" s="8">
        <v>0.25</v>
      </c>
      <c r="P10" s="8" t="s">
        <v>101</v>
      </c>
    </row>
    <row r="11" spans="1:22" x14ac:dyDescent="0.25">
      <c r="A11" s="8" t="s">
        <v>703</v>
      </c>
      <c r="B11" s="13" cm="1">
        <f t="array" ref="B11">fluidCircleArea(B10)</f>
        <v>0.78539816339744828</v>
      </c>
      <c r="C11" s="8" t="s">
        <v>218</v>
      </c>
      <c r="E11" t="s">
        <v>446</v>
      </c>
      <c r="J11" s="8" t="s">
        <v>451</v>
      </c>
      <c r="K11" s="9" cm="1">
        <f t="array" ref="K11">Bolt_NASA_Config1_Ej(K5:K7,L5:L7,K10)</f>
        <v>12877179.549304953</v>
      </c>
      <c r="L11" s="8" t="s">
        <v>95</v>
      </c>
      <c r="N11" s="8" t="s">
        <v>316</v>
      </c>
      <c r="O11" s="8">
        <v>20</v>
      </c>
      <c r="P11" s="8" t="s">
        <v>317</v>
      </c>
    </row>
    <row r="12" spans="1:22" x14ac:dyDescent="0.25">
      <c r="A12" s="8" t="s">
        <v>704</v>
      </c>
      <c r="B12" s="8">
        <v>30</v>
      </c>
      <c r="C12" s="8" t="s">
        <v>95</v>
      </c>
      <c r="E12" t="s">
        <v>720</v>
      </c>
      <c r="F12">
        <v>70000</v>
      </c>
      <c r="J12" s="8" t="s">
        <v>452</v>
      </c>
      <c r="K12" s="9" cm="1">
        <f t="array" ref="K12">Bolt_NASA_Config1_Kj(K11,O10,K10)</f>
        <v>3770470.3964600512</v>
      </c>
      <c r="L12" s="8" t="s">
        <v>453</v>
      </c>
      <c r="N12" s="8" t="s">
        <v>318</v>
      </c>
      <c r="O12" s="8" cm="1">
        <f t="array" ref="O12">Bolt_TensileStressArea(O10,O11)</f>
        <v>3.1820918060966576E-2</v>
      </c>
      <c r="P12" s="8" t="s">
        <v>218</v>
      </c>
    </row>
    <row r="13" spans="1:22" x14ac:dyDescent="0.25">
      <c r="A13" s="8" t="s">
        <v>480</v>
      </c>
      <c r="B13" s="11">
        <f>B12*B11</f>
        <v>23.561944901923447</v>
      </c>
      <c r="C13" s="8" t="s">
        <v>476</v>
      </c>
      <c r="E13" t="s">
        <v>721</v>
      </c>
      <c r="F13" s="2">
        <f>F12/SQRT(3)</f>
        <v>40414.518843273807</v>
      </c>
      <c r="J13" s="8" t="s">
        <v>456</v>
      </c>
      <c r="K13" s="13" cm="1">
        <f t="array" ref="K13">Bolt_NASA_Config1_n(K5:K7)</f>
        <v>0.66666666666666663</v>
      </c>
      <c r="L13" s="8" t="s">
        <v>220</v>
      </c>
      <c r="N13" s="8" t="s">
        <v>443</v>
      </c>
      <c r="O13" s="8" t="s">
        <v>444</v>
      </c>
    </row>
    <row r="15" spans="1:22" x14ac:dyDescent="0.25">
      <c r="A15" s="8" t="s">
        <v>693</v>
      </c>
      <c r="B15" s="8" cm="1">
        <f t="array" ref="B15">Bolt_NutFactor("Minimum Lubricated")</f>
        <v>0.11</v>
      </c>
      <c r="C15" s="8" t="s">
        <v>220</v>
      </c>
      <c r="J15" s="36" t="s">
        <v>469</v>
      </c>
      <c r="K15" s="36"/>
      <c r="L15" s="36"/>
    </row>
    <row r="16" spans="1:22" x14ac:dyDescent="0.25">
      <c r="A16" s="8" t="s">
        <v>694</v>
      </c>
      <c r="B16" s="8" cm="1">
        <f t="array" ref="B16">Bolt_NutFactor("Maximum Lubricated")</f>
        <v>0.15</v>
      </c>
      <c r="C16" s="8" t="s">
        <v>220</v>
      </c>
      <c r="J16" s="8" t="s">
        <v>463</v>
      </c>
      <c r="K16" s="8">
        <v>0.01</v>
      </c>
      <c r="L16" s="8" t="s">
        <v>101</v>
      </c>
    </row>
    <row r="17" spans="1:12" x14ac:dyDescent="0.25">
      <c r="A17" s="8" t="s">
        <v>474</v>
      </c>
      <c r="B17" s="8">
        <v>0.25</v>
      </c>
      <c r="C17" s="8" t="s">
        <v>220</v>
      </c>
      <c r="J17" s="8" t="s">
        <v>465</v>
      </c>
      <c r="K17" s="8">
        <v>0.375</v>
      </c>
      <c r="L17" s="8" t="s">
        <v>101</v>
      </c>
    </row>
    <row r="18" spans="1:12" x14ac:dyDescent="0.25">
      <c r="J18" s="8" t="s">
        <v>464</v>
      </c>
      <c r="K18" s="8" cm="1">
        <f t="array" ref="K18">Bolt_NASA_EffectiveCounterSunkHeadDiameter(K17,O10)</f>
        <v>0.3125</v>
      </c>
      <c r="L18" s="8" t="s">
        <v>101</v>
      </c>
    </row>
    <row r="19" spans="1:12" x14ac:dyDescent="0.25">
      <c r="A19" s="36" t="s">
        <v>725</v>
      </c>
      <c r="B19" s="36"/>
      <c r="C19" s="36"/>
      <c r="J19" s="8" t="s">
        <v>450</v>
      </c>
      <c r="K19" s="8" cm="1">
        <f t="array" ref="K19">Bolt_NASA_Config2_L(K5:K7,K16)</f>
        <v>1.4950000000000001</v>
      </c>
      <c r="L19" s="8" t="s">
        <v>101</v>
      </c>
    </row>
    <row r="20" spans="1:12" x14ac:dyDescent="0.25">
      <c r="A20" s="8" t="s">
        <v>698</v>
      </c>
      <c r="B20" s="8">
        <v>0.14899999999999999</v>
      </c>
      <c r="C20" s="8" t="s">
        <v>101</v>
      </c>
      <c r="J20" s="8" t="s">
        <v>451</v>
      </c>
      <c r="K20" s="8" cm="1">
        <f t="array" ref="K20">Bolt_NASA_Config2_Ej(K5:K7,L5:L7,K19,K16)</f>
        <v>12852368.282121884</v>
      </c>
      <c r="L20" s="8" t="s">
        <v>95</v>
      </c>
    </row>
    <row r="21" spans="1:12" x14ac:dyDescent="0.25">
      <c r="A21" s="8" t="s">
        <v>718</v>
      </c>
      <c r="B21" s="13" cm="1">
        <f t="array" ref="B21">Bolt_ExternalThreadShearArea(B5,B20)</f>
        <v>2.7471460609775095E-2</v>
      </c>
      <c r="C21" s="8" t="s">
        <v>218</v>
      </c>
      <c r="J21" s="8" t="s">
        <v>452</v>
      </c>
      <c r="K21" s="8" cm="1">
        <f t="array" ref="K21">Bolt_NASA_Config2_Kj(K20,O10,K19,K18)</f>
        <v>6118362.0767362621</v>
      </c>
      <c r="L21" s="8" t="s">
        <v>453</v>
      </c>
    </row>
    <row r="22" spans="1:12" x14ac:dyDescent="0.25">
      <c r="A22" s="8" t="s">
        <v>719</v>
      </c>
      <c r="B22" s="13" cm="1">
        <f t="array" ref="B22">Bolt_InternalThreadShearArea(B3,B20)</f>
        <v>3.7529701459232685E-2</v>
      </c>
      <c r="C22" s="8" t="s">
        <v>218</v>
      </c>
      <c r="J22" s="8" t="s">
        <v>466</v>
      </c>
      <c r="K22" s="8" cm="1">
        <f t="array" ref="K22">Bolt_NASA_Config2_n(K5:K7,K16)</f>
        <v>0.83000000000000007</v>
      </c>
      <c r="L22" s="8" t="s">
        <v>220</v>
      </c>
    </row>
    <row r="23" spans="1:12" x14ac:dyDescent="0.25">
      <c r="A23" s="8" t="s">
        <v>699</v>
      </c>
      <c r="B23" s="8" cm="1">
        <f t="array" ref="B23">Bolt_NASA_Config3_L(F7:F8,B20)</f>
        <v>0.22550000000000003</v>
      </c>
      <c r="C23" s="8" t="s">
        <v>101</v>
      </c>
    </row>
    <row r="24" spans="1:12" x14ac:dyDescent="0.25">
      <c r="J24" s="36" t="s">
        <v>470</v>
      </c>
      <c r="K24" s="36"/>
      <c r="L24" s="36"/>
    </row>
    <row r="25" spans="1:12" x14ac:dyDescent="0.25">
      <c r="A25" s="8" t="s">
        <v>700</v>
      </c>
      <c r="B25" s="32" cm="1">
        <f t="array" ref="B25">Bolt_NASA_Config3_Ej(F7:F8,G7:G8,B23,B20)</f>
        <v>15961954.15170021</v>
      </c>
      <c r="C25" s="8" t="s">
        <v>95</v>
      </c>
      <c r="J25" s="8" t="s">
        <v>467</v>
      </c>
      <c r="K25" s="8">
        <v>0.375</v>
      </c>
      <c r="L25" s="8" t="s">
        <v>101</v>
      </c>
    </row>
    <row r="26" spans="1:12" x14ac:dyDescent="0.25">
      <c r="A26" s="8" t="s">
        <v>701</v>
      </c>
      <c r="B26" s="32" cm="1">
        <f t="array" ref="B26">Bolt_NASA_Config3_Kj(B25,B3,B23)</f>
        <v>2576052.4191216589</v>
      </c>
      <c r="C26" s="8" t="s">
        <v>453</v>
      </c>
      <c r="J26" s="8" t="s">
        <v>450</v>
      </c>
      <c r="K26" s="8" cm="1">
        <f t="array" ref="K26">Bolt_NASA_Config3_L(K5:K7,K25)</f>
        <v>1.3125</v>
      </c>
      <c r="L26" s="8" t="s">
        <v>101</v>
      </c>
    </row>
    <row r="27" spans="1:12" x14ac:dyDescent="0.25">
      <c r="J27" s="8" t="s">
        <v>451</v>
      </c>
      <c r="K27" s="8" cm="1">
        <f t="array" ref="K27">Bolt_NASA_Config3_Ej(K5:K7,L5:L7,K26,K25)</f>
        <v>13430931.236007052</v>
      </c>
      <c r="L27" s="8" t="s">
        <v>95</v>
      </c>
    </row>
    <row r="28" spans="1:12" x14ac:dyDescent="0.25">
      <c r="A28" s="8" t="s">
        <v>706</v>
      </c>
      <c r="B28" s="9" cm="1">
        <f t="array" ref="B28">Bolt_CircularRodAxialStiffness(F2,B6,B23)</f>
        <v>722767.94597111747</v>
      </c>
      <c r="C28" s="8" t="s">
        <v>95</v>
      </c>
      <c r="J28" s="8" t="s">
        <v>452</v>
      </c>
      <c r="K28" s="8" cm="1">
        <f t="array" ref="K28">Bolt_NASA_Config3_Kj(K27,O10,K26)</f>
        <v>4023292.1053128117</v>
      </c>
      <c r="L28" s="8" t="s">
        <v>453</v>
      </c>
    </row>
    <row r="29" spans="1:12" x14ac:dyDescent="0.25">
      <c r="J29" s="8" t="s">
        <v>466</v>
      </c>
      <c r="K29" s="8" cm="1">
        <f t="array" ref="K29">Bolt_NASA_Config3_n(K5:K7,K25)</f>
        <v>0.70833333333333337</v>
      </c>
      <c r="L29" s="8" t="s">
        <v>220</v>
      </c>
    </row>
    <row r="30" spans="1:12" x14ac:dyDescent="0.25">
      <c r="A30" s="8" t="s">
        <v>477</v>
      </c>
      <c r="B30" s="9" cm="1">
        <f t="array" ref="B30">Bolt_InitialPreload(B3,B15,B8,B17,"Max")</f>
        <v>552.76809252487465</v>
      </c>
      <c r="C30" s="8" t="s">
        <v>476</v>
      </c>
    </row>
    <row r="31" spans="1:12" x14ac:dyDescent="0.25">
      <c r="A31" s="8" t="s">
        <v>478</v>
      </c>
      <c r="B31" s="9" cm="1">
        <f t="array" ref="B31">Bolt_InitialPreload(B3,B16,B8,B17,"Min")</f>
        <v>243.21796071094482</v>
      </c>
      <c r="C31" s="8" t="s">
        <v>476</v>
      </c>
      <c r="J31" s="36" t="s">
        <v>471</v>
      </c>
      <c r="K31" s="36"/>
      <c r="L31" s="36"/>
    </row>
    <row r="32" spans="1:12" x14ac:dyDescent="0.25">
      <c r="A32" s="8" t="s">
        <v>479</v>
      </c>
      <c r="B32" s="9" cm="1">
        <f t="array" ref="B32">Bolt_InitialPreload(B3,B15,B8,B17,"Nominal")</f>
        <v>442.21447401989968</v>
      </c>
      <c r="C32" s="8" t="s">
        <v>476</v>
      </c>
      <c r="J32" s="8" t="s">
        <v>467</v>
      </c>
      <c r="K32" s="8">
        <v>0.375</v>
      </c>
      <c r="L32" s="8" t="s">
        <v>101</v>
      </c>
    </row>
    <row r="33" spans="1:12" x14ac:dyDescent="0.25">
      <c r="J33" s="8" t="s">
        <v>463</v>
      </c>
      <c r="K33" s="8">
        <v>0.01</v>
      </c>
      <c r="L33" s="8" t="s">
        <v>101</v>
      </c>
    </row>
    <row r="34" spans="1:12" x14ac:dyDescent="0.25">
      <c r="A34" s="8" t="s">
        <v>702</v>
      </c>
      <c r="B34" s="8" cm="1">
        <f t="array" ref="B34">Bolt_NASA_Config3_n(F7:F8,B20)</f>
        <v>0.58499999999999996</v>
      </c>
      <c r="C34" s="8" t="s">
        <v>220</v>
      </c>
      <c r="J34" s="8" t="s">
        <v>465</v>
      </c>
      <c r="K34" s="8">
        <v>0.375</v>
      </c>
      <c r="L34" s="8" t="s">
        <v>101</v>
      </c>
    </row>
    <row r="35" spans="1:12" x14ac:dyDescent="0.25">
      <c r="A35" s="8" t="s">
        <v>707</v>
      </c>
      <c r="B35" s="13" cm="1">
        <f t="array" ref="B35">Bolt_NASA_StiffnessFactor(B28,B26)</f>
        <v>0.21909890990708439</v>
      </c>
      <c r="C35" s="8" t="s">
        <v>220</v>
      </c>
      <c r="J35" s="8" t="s">
        <v>464</v>
      </c>
      <c r="K35" s="8" cm="1">
        <f t="array" ref="K35">Bolt_NASA_EffectiveCounterSunkHeadDiameter(K34,O10)</f>
        <v>0.3125</v>
      </c>
      <c r="L35" s="8" t="s">
        <v>101</v>
      </c>
    </row>
    <row r="36" spans="1:12" x14ac:dyDescent="0.25">
      <c r="A36" s="8" t="s">
        <v>708</v>
      </c>
      <c r="B36" s="12" cm="1">
        <f t="array" ref="B36">Bolt_BoltExternalLoadPreloadDelta(B34,B35,B13)</f>
        <v>3.0200019193317935</v>
      </c>
      <c r="C36" s="8" t="s">
        <v>476</v>
      </c>
      <c r="J36" s="8" t="s">
        <v>472</v>
      </c>
      <c r="K36" s="8" cm="1">
        <f t="array" ref="K36">Bolt_NASA_Config4_L(K5:K7,K33,K32)</f>
        <v>1.3075000000000001</v>
      </c>
      <c r="L36" s="8" t="s">
        <v>101</v>
      </c>
    </row>
    <row r="37" spans="1:12" x14ac:dyDescent="0.25">
      <c r="J37" s="8" t="s">
        <v>451</v>
      </c>
      <c r="K37" s="8" cm="1">
        <f t="array" ref="K37">Bolt_NASA_Config4_Ej(K5:K7,L5:L7,K36,K33,K32)</f>
        <v>13402279.914756496</v>
      </c>
      <c r="L37" s="8" t="s">
        <v>95</v>
      </c>
    </row>
    <row r="38" spans="1:12" x14ac:dyDescent="0.25">
      <c r="A38" s="35" t="s">
        <v>709</v>
      </c>
      <c r="B38" s="35">
        <v>1.5</v>
      </c>
      <c r="C38" s="35" t="s">
        <v>220</v>
      </c>
      <c r="J38" s="8" t="s">
        <v>452</v>
      </c>
      <c r="K38" s="8" cm="1">
        <f t="array" ref="K38">Bolt_NASA_Config4_Kj(K37,O10,K36,K35)</f>
        <v>5580904.1978660757</v>
      </c>
      <c r="L38" s="8" t="s">
        <v>453</v>
      </c>
    </row>
    <row r="39" spans="1:12" x14ac:dyDescent="0.25">
      <c r="A39" s="8" t="s">
        <v>717</v>
      </c>
      <c r="B39" s="9" cm="1">
        <f t="array" ref="B39">Bolt_MaxFastenerAxialLoad(B30,B36,B38)</f>
        <v>557.29809540387237</v>
      </c>
      <c r="C39" s="8" t="s">
        <v>476</v>
      </c>
      <c r="J39" s="8" t="s">
        <v>466</v>
      </c>
      <c r="K39" s="8" cm="1">
        <f t="array" ref="K39">Bolt_NASA_Config4_n(K5:K7,K33,K32)</f>
        <v>0.8716666666666667</v>
      </c>
      <c r="L39" s="8" t="s">
        <v>220</v>
      </c>
    </row>
    <row r="40" spans="1:12" x14ac:dyDescent="0.25">
      <c r="A40" s="8" t="s">
        <v>716</v>
      </c>
      <c r="B40" s="9" cm="1">
        <f t="array" ref="B40">Bolt_TensileForceAllowable(F3,B6)</f>
        <v>856.18004365922218</v>
      </c>
      <c r="C40" s="8" t="s">
        <v>476</v>
      </c>
    </row>
    <row r="41" spans="1:12" x14ac:dyDescent="0.25">
      <c r="A41" s="8" t="s">
        <v>715</v>
      </c>
      <c r="B41" s="9" cm="1">
        <f t="array" ref="B41">Bolt_ThreadShearForceAllowable(F4,B21)</f>
        <v>2537.7048284937364</v>
      </c>
      <c r="C41" s="8" t="s">
        <v>476</v>
      </c>
    </row>
    <row r="42" spans="1:12" x14ac:dyDescent="0.25">
      <c r="A42" s="8" t="s">
        <v>722</v>
      </c>
      <c r="B42" s="9">
        <f>F13*B22</f>
        <v>1516.7448268065998</v>
      </c>
      <c r="C42" s="8" t="s">
        <v>476</v>
      </c>
      <c r="J42" t="s">
        <v>481</v>
      </c>
      <c r="K42" s="3" cm="1">
        <f t="array" ref="K42">Bolt_BoltExternalLoadPreloadDelta(K13,O7,B13)</f>
        <v>2.2980171051798122</v>
      </c>
      <c r="L42" t="s">
        <v>476</v>
      </c>
    </row>
    <row r="44" spans="1:12" x14ac:dyDescent="0.25">
      <c r="A44" s="33" t="s">
        <v>710</v>
      </c>
      <c r="B44" s="34" cm="1">
        <f t="array" ref="B44">Bolt_TensionOnlyMarginOfSafety(B39,B40)</f>
        <v>0.53630534667223451</v>
      </c>
      <c r="C44" s="33" t="s">
        <v>220</v>
      </c>
    </row>
    <row r="45" spans="1:12" x14ac:dyDescent="0.25">
      <c r="A45" s="33" t="s">
        <v>724</v>
      </c>
      <c r="B45" s="34" cm="1">
        <f t="array" ref="B45">Bolt_ThreadShearMarginOfSafety(B39,B41)</f>
        <v>3.553586042052896</v>
      </c>
      <c r="C45" s="33" t="s">
        <v>220</v>
      </c>
    </row>
    <row r="46" spans="1:12" x14ac:dyDescent="0.25">
      <c r="A46" s="33" t="s">
        <v>723</v>
      </c>
      <c r="B46" s="34" cm="1">
        <f t="array" ref="B46">Bolt_ThreadShearMarginOfSafety(B39,B42)</f>
        <v>1.721604181524107</v>
      </c>
      <c r="C46" s="33" t="s">
        <v>220</v>
      </c>
    </row>
  </sheetData>
  <mergeCells count="5">
    <mergeCell ref="A19:C19"/>
    <mergeCell ref="J9:L9"/>
    <mergeCell ref="J15:L15"/>
    <mergeCell ref="J24:L24"/>
    <mergeCell ref="J31:L31"/>
  </mergeCells>
  <dataValidations disablePrompts="1" count="1">
    <dataValidation type="list" allowBlank="1" showInputMessage="1" showErrorMessage="1" sqref="B1" xr:uid="{9593B567-3EB9-4386-B192-66EFF96719AC}">
      <formula1>INDIRECT("NAS1352values[Part Number]")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210CDB7-A920-46AE-8DB0-2A5CF4C02E42}">
          <x14:formula1>
            <xm:f>'ASME B1.1-2003 Dimensions'!$A$2:$A$109</xm:f>
          </x14:formula1>
          <xm:sqref>O13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46D00-E37A-4284-B7F5-890857251866}">
  <sheetPr codeName="Sheet2"/>
  <dimension ref="A1:AZ59"/>
  <sheetViews>
    <sheetView topLeftCell="Y1" workbookViewId="0">
      <selection activeCell="AP2" sqref="AP2:AP17"/>
    </sheetView>
  </sheetViews>
  <sheetFormatPr defaultRowHeight="15" x14ac:dyDescent="0.25"/>
  <cols>
    <col min="1" max="1" width="15.28515625" bestFit="1" customWidth="1"/>
    <col min="2" max="2" width="69.28515625" bestFit="1" customWidth="1"/>
    <col min="5" max="5" width="10" customWidth="1"/>
    <col min="6" max="6" width="9.140625" customWidth="1"/>
    <col min="7" max="7" width="12.7109375" customWidth="1"/>
    <col min="8" max="8" width="13.28515625" customWidth="1"/>
    <col min="10" max="10" width="26.5703125" bestFit="1" customWidth="1"/>
    <col min="13" max="13" width="12" bestFit="1" customWidth="1"/>
    <col min="16" max="16" width="11.5703125" bestFit="1" customWidth="1"/>
    <col min="19" max="19" width="17" bestFit="1" customWidth="1"/>
    <col min="20" max="20" width="83" customWidth="1"/>
    <col min="22" max="22" width="13.28515625" bestFit="1" customWidth="1"/>
    <col min="28" max="28" width="17.85546875" bestFit="1" customWidth="1"/>
    <col min="29" max="29" width="20.140625" customWidth="1"/>
    <col min="30" max="30" width="24.85546875" bestFit="1" customWidth="1"/>
    <col min="33" max="33" width="13.85546875" bestFit="1" customWidth="1"/>
    <col min="36" max="36" width="10.140625" bestFit="1" customWidth="1"/>
    <col min="37" max="37" width="10.140625" customWidth="1"/>
    <col min="39" max="39" width="13.140625" bestFit="1" customWidth="1"/>
    <col min="40" max="40" width="13.140625" customWidth="1"/>
  </cols>
  <sheetData>
    <row r="1" spans="1:45" x14ac:dyDescent="0.25">
      <c r="A1" t="s">
        <v>79</v>
      </c>
      <c r="D1" t="s">
        <v>80</v>
      </c>
      <c r="G1" t="s">
        <v>81</v>
      </c>
      <c r="J1" t="s">
        <v>82</v>
      </c>
      <c r="M1" t="s">
        <v>96</v>
      </c>
      <c r="P1" t="s">
        <v>106</v>
      </c>
      <c r="S1" t="s">
        <v>105</v>
      </c>
      <c r="W1" t="s">
        <v>161</v>
      </c>
      <c r="AB1" t="s">
        <v>176</v>
      </c>
      <c r="AG1" t="s">
        <v>194</v>
      </c>
      <c r="AJ1" t="s">
        <v>223</v>
      </c>
      <c r="AM1" t="s">
        <v>238</v>
      </c>
      <c r="AP1" t="s">
        <v>255</v>
      </c>
    </row>
    <row r="2" spans="1:45" x14ac:dyDescent="0.25">
      <c r="A2" t="s">
        <v>35</v>
      </c>
      <c r="B2" t="str">
        <f t="shared" ref="B2:B10" si="0">""""&amp;A2&amp;""","</f>
        <v>"kg/s",</v>
      </c>
      <c r="D2" t="s">
        <v>23</v>
      </c>
      <c r="E2" t="str">
        <f>""""&amp;D2&amp;""","</f>
        <v>"ccs",</v>
      </c>
      <c r="G2" t="s">
        <v>24</v>
      </c>
      <c r="H2" t="str">
        <f t="shared" ref="H2:H10" si="1">""""&amp;G2&amp;""","</f>
        <v>"kg/m3",</v>
      </c>
      <c r="J2" t="s">
        <v>46</v>
      </c>
      <c r="K2" t="str">
        <f>""""&amp;J2&amp;""","</f>
        <v>"scms",</v>
      </c>
      <c r="M2" t="s">
        <v>99</v>
      </c>
      <c r="N2" t="str">
        <f>""""&amp;M2&amp;""","</f>
        <v>"km",</v>
      </c>
      <c r="P2" t="s">
        <v>107</v>
      </c>
      <c r="Q2" t="str">
        <f t="shared" ref="Q2:Q4" si="2">""""&amp;P2&amp;""","</f>
        <v>"s",</v>
      </c>
      <c r="S2" t="str">
        <f>M2&amp;"/"&amp;$P$2</f>
        <v>km/s</v>
      </c>
      <c r="T2" t="str">
        <f t="shared" ref="T2:T26" si="3">""""&amp;S2&amp;""","</f>
        <v>"km/s",</v>
      </c>
      <c r="W2" t="str">
        <f>$T2</f>
        <v>"km/s",</v>
      </c>
      <c r="AB2" t="s">
        <v>62</v>
      </c>
      <c r="AC2" t="str">
        <f t="shared" ref="AC2:AC9" si="4">""""&amp;AB2&amp;""","</f>
        <v>"F",</v>
      </c>
      <c r="AG2" t="s">
        <v>9</v>
      </c>
      <c r="AH2" t="str">
        <f t="shared" ref="AH2:AH6" si="5">""""&amp;AG2&amp;""","</f>
        <v>"psia",</v>
      </c>
      <c r="AJ2" t="s">
        <v>224</v>
      </c>
      <c r="AK2" t="str">
        <f t="shared" ref="AK2:AK17" si="6">""""&amp;AJ2&amp;""","</f>
        <v>"km2",</v>
      </c>
      <c r="AM2" t="s">
        <v>239</v>
      </c>
      <c r="AN2" t="str">
        <f t="shared" ref="AN2:AN4" si="7">""""&amp;AM2&amp;""","</f>
        <v>"km3",</v>
      </c>
      <c r="AP2" t="s">
        <v>256</v>
      </c>
      <c r="AQ2" t="str">
        <f t="shared" ref="AQ2:AQ17" si="8">""""&amp;AP2&amp;""","</f>
        <v>"km4",</v>
      </c>
    </row>
    <row r="3" spans="1:45" x14ac:dyDescent="0.25">
      <c r="A3" t="s">
        <v>110</v>
      </c>
      <c r="B3" t="str">
        <f t="shared" si="0"/>
        <v>"kg/min",</v>
      </c>
      <c r="D3" t="s">
        <v>10</v>
      </c>
      <c r="E3" t="str">
        <f t="shared" ref="E3:E10" si="9">""""&amp;D3&amp;""","</f>
        <v>"m3/s",</v>
      </c>
      <c r="G3" t="s">
        <v>25</v>
      </c>
      <c r="H3" t="str">
        <f t="shared" si="1"/>
        <v>"kg/cm3",</v>
      </c>
      <c r="J3" t="s">
        <v>47</v>
      </c>
      <c r="K3" t="str">
        <f t="shared" ref="K3:K16" si="10">""""&amp;J3&amp;""","</f>
        <v>"scmm",</v>
      </c>
      <c r="M3" t="s">
        <v>97</v>
      </c>
      <c r="N3" t="str">
        <f t="shared" ref="N3:N9" si="11">""""&amp;M3&amp;""","</f>
        <v>"m",</v>
      </c>
      <c r="P3" t="s">
        <v>108</v>
      </c>
      <c r="Q3" t="str">
        <f t="shared" si="2"/>
        <v>"min",</v>
      </c>
      <c r="S3" t="str">
        <f t="shared" ref="S3:S9" si="12">M3&amp;"/"&amp;$P$2</f>
        <v>m/s</v>
      </c>
      <c r="T3" t="str">
        <f t="shared" si="3"/>
        <v>"m/s",</v>
      </c>
      <c r="W3" t="str">
        <f>$T10</f>
        <v>"km/min",</v>
      </c>
      <c r="AB3" t="s">
        <v>178</v>
      </c>
      <c r="AC3" t="str">
        <f t="shared" si="4"/>
        <v>"°F",</v>
      </c>
      <c r="AG3" t="s">
        <v>195</v>
      </c>
      <c r="AH3" t="str">
        <f t="shared" si="5"/>
        <v>"psig",</v>
      </c>
      <c r="AJ3" t="s">
        <v>219</v>
      </c>
      <c r="AK3" t="str">
        <f t="shared" si="6"/>
        <v>"m2",</v>
      </c>
      <c r="AM3" t="s">
        <v>240</v>
      </c>
      <c r="AN3" t="str">
        <f t="shared" si="7"/>
        <v>"m3",</v>
      </c>
      <c r="AP3" t="s">
        <v>257</v>
      </c>
      <c r="AQ3" t="str">
        <f t="shared" si="8"/>
        <v>"m4",</v>
      </c>
    </row>
    <row r="4" spans="1:45" x14ac:dyDescent="0.25">
      <c r="A4" t="s">
        <v>36</v>
      </c>
      <c r="B4" t="str">
        <f t="shared" si="0"/>
        <v>"kg/hr",</v>
      </c>
      <c r="D4" t="s">
        <v>113</v>
      </c>
      <c r="E4" t="str">
        <f t="shared" si="9"/>
        <v>"m3/min",</v>
      </c>
      <c r="G4" t="s">
        <v>26</v>
      </c>
      <c r="H4" t="str">
        <f t="shared" si="1"/>
        <v>"kg/L",</v>
      </c>
      <c r="J4" t="s">
        <v>48</v>
      </c>
      <c r="K4" t="str">
        <f t="shared" si="10"/>
        <v>"scmh",</v>
      </c>
      <c r="M4" t="s">
        <v>100</v>
      </c>
      <c r="N4" t="str">
        <f t="shared" si="11"/>
        <v>"cm",</v>
      </c>
      <c r="P4" t="s">
        <v>109</v>
      </c>
      <c r="Q4" t="str">
        <f t="shared" si="2"/>
        <v>"hr",</v>
      </c>
      <c r="S4" t="str">
        <f t="shared" si="12"/>
        <v>cm/s</v>
      </c>
      <c r="T4" t="str">
        <f t="shared" si="3"/>
        <v>"cm/s",</v>
      </c>
      <c r="W4" t="str">
        <f>$T18</f>
        <v>"km/hr",</v>
      </c>
      <c r="AB4" t="s">
        <v>177</v>
      </c>
      <c r="AC4" t="str">
        <f t="shared" si="4"/>
        <v>"C",</v>
      </c>
      <c r="AG4" t="s">
        <v>196</v>
      </c>
      <c r="AH4" t="str">
        <f t="shared" si="5"/>
        <v>"psid",</v>
      </c>
      <c r="AJ4" t="s">
        <v>225</v>
      </c>
      <c r="AK4" t="str">
        <f t="shared" si="6"/>
        <v>"cm2",</v>
      </c>
      <c r="AM4" t="s">
        <v>241</v>
      </c>
      <c r="AN4" t="str">
        <f t="shared" si="7"/>
        <v>"cm3",</v>
      </c>
      <c r="AP4" t="s">
        <v>258</v>
      </c>
      <c r="AQ4" t="str">
        <f t="shared" si="8"/>
        <v>"cm4",</v>
      </c>
    </row>
    <row r="5" spans="1:45" x14ac:dyDescent="0.25">
      <c r="A5" t="s">
        <v>37</v>
      </c>
      <c r="B5" t="str">
        <f t="shared" si="0"/>
        <v>"g/s",</v>
      </c>
      <c r="D5" t="s">
        <v>11</v>
      </c>
      <c r="E5" t="str">
        <f t="shared" si="9"/>
        <v>"m3/hr",</v>
      </c>
      <c r="G5" t="s">
        <v>27</v>
      </c>
      <c r="H5" t="str">
        <f t="shared" si="1"/>
        <v>"g/m3",</v>
      </c>
      <c r="J5" t="s">
        <v>49</v>
      </c>
      <c r="K5" t="str">
        <f t="shared" si="10"/>
        <v>"slps",</v>
      </c>
      <c r="M5" t="s">
        <v>98</v>
      </c>
      <c r="N5" t="str">
        <f t="shared" si="11"/>
        <v>"mm",</v>
      </c>
      <c r="P5" t="s">
        <v>83</v>
      </c>
      <c r="Q5" t="str">
        <f>"Case "&amp;LEFT(_xlfn.CONCAT(Q2:Q4),LEN(_xlfn.CONCAT(Q2:Q4))-1)</f>
        <v>Case "s","min","hr"</v>
      </c>
      <c r="S5" t="str">
        <f t="shared" si="12"/>
        <v>mm/s</v>
      </c>
      <c r="T5" t="str">
        <f t="shared" si="3"/>
        <v>"mm/s",</v>
      </c>
      <c r="V5" t="s">
        <v>160</v>
      </c>
      <c r="W5" t="str">
        <f>"Case "&amp;LEFT(_xlfn.CONCAT(W2:W4),LEN(_xlfn.CONCAT(W2:W4))-1)</f>
        <v>Case "km/s","km/min","km/hr"</v>
      </c>
      <c r="AB5" t="s">
        <v>179</v>
      </c>
      <c r="AC5" t="str">
        <f t="shared" si="4"/>
        <v>"°C",</v>
      </c>
      <c r="AG5" t="s">
        <v>95</v>
      </c>
      <c r="AH5" t="str">
        <f t="shared" si="5"/>
        <v>"psi",</v>
      </c>
      <c r="AJ5" t="s">
        <v>226</v>
      </c>
      <c r="AK5" t="str">
        <f t="shared" si="6"/>
        <v>"mm2",</v>
      </c>
      <c r="AM5" t="s">
        <v>242</v>
      </c>
      <c r="AN5" t="str">
        <f t="shared" ref="AN5:AN21" si="13">""""&amp;AM5&amp;""","</f>
        <v>"mm3",</v>
      </c>
      <c r="AP5" t="s">
        <v>259</v>
      </c>
      <c r="AQ5" t="str">
        <f t="shared" si="8"/>
        <v>"mm4",</v>
      </c>
    </row>
    <row r="6" spans="1:45" x14ac:dyDescent="0.25">
      <c r="A6" t="s">
        <v>111</v>
      </c>
      <c r="B6" t="str">
        <f t="shared" si="0"/>
        <v>"g/min",</v>
      </c>
      <c r="D6" t="s">
        <v>12</v>
      </c>
      <c r="E6" t="str">
        <f t="shared" si="9"/>
        <v>"cm3/s",</v>
      </c>
      <c r="G6" t="s">
        <v>121</v>
      </c>
      <c r="H6" t="str">
        <f t="shared" si="1"/>
        <v>"g/cm3",</v>
      </c>
      <c r="J6" t="s">
        <v>50</v>
      </c>
      <c r="K6" t="str">
        <f t="shared" si="10"/>
        <v>"slpm",</v>
      </c>
      <c r="M6" t="s">
        <v>101</v>
      </c>
      <c r="N6" t="str">
        <f t="shared" si="11"/>
        <v>"in",</v>
      </c>
      <c r="S6" t="str">
        <f t="shared" si="12"/>
        <v>in/s</v>
      </c>
      <c r="T6" t="str">
        <f t="shared" si="3"/>
        <v>"in/s",</v>
      </c>
      <c r="AB6" t="s">
        <v>2</v>
      </c>
      <c r="AC6" t="str">
        <f t="shared" si="4"/>
        <v>"K",</v>
      </c>
      <c r="AG6" t="s">
        <v>207</v>
      </c>
      <c r="AH6" t="str">
        <f t="shared" si="5"/>
        <v>"ksi",</v>
      </c>
      <c r="AJ6" t="s">
        <v>218</v>
      </c>
      <c r="AK6" t="str">
        <f t="shared" si="6"/>
        <v>"in2",</v>
      </c>
      <c r="AM6" t="s">
        <v>243</v>
      </c>
      <c r="AN6" t="str">
        <f t="shared" si="13"/>
        <v>"in3",</v>
      </c>
      <c r="AP6" t="s">
        <v>260</v>
      </c>
      <c r="AQ6" t="str">
        <f t="shared" si="8"/>
        <v>"in4",</v>
      </c>
    </row>
    <row r="7" spans="1:45" x14ac:dyDescent="0.25">
      <c r="A7" t="s">
        <v>38</v>
      </c>
      <c r="B7" t="str">
        <f t="shared" si="0"/>
        <v>"g/hr",</v>
      </c>
      <c r="D7" t="s">
        <v>114</v>
      </c>
      <c r="E7" t="str">
        <f t="shared" si="9"/>
        <v>"cm3/min",</v>
      </c>
      <c r="G7" t="s">
        <v>28</v>
      </c>
      <c r="H7" t="str">
        <f t="shared" si="1"/>
        <v>"g/L",</v>
      </c>
      <c r="J7" t="s">
        <v>51</v>
      </c>
      <c r="K7" t="str">
        <f t="shared" si="10"/>
        <v>"slph",</v>
      </c>
      <c r="M7" t="s">
        <v>102</v>
      </c>
      <c r="N7" t="str">
        <f t="shared" si="11"/>
        <v>"ft",</v>
      </c>
      <c r="S7" t="str">
        <f t="shared" si="12"/>
        <v>ft/s</v>
      </c>
      <c r="T7" t="str">
        <f t="shared" si="3"/>
        <v>"ft/s",</v>
      </c>
      <c r="W7" t="s">
        <v>162</v>
      </c>
      <c r="AB7" t="s">
        <v>8</v>
      </c>
      <c r="AC7" t="str">
        <f t="shared" si="4"/>
        <v>"R",</v>
      </c>
      <c r="AG7" t="s">
        <v>197</v>
      </c>
      <c r="AH7" t="str">
        <f t="shared" ref="AH7:AH17" si="14">""""&amp;AG7&amp;""","</f>
        <v>"lbf/in2",</v>
      </c>
      <c r="AJ7" t="s">
        <v>227</v>
      </c>
      <c r="AK7" t="str">
        <f t="shared" si="6"/>
        <v>"ft2",</v>
      </c>
      <c r="AM7" t="s">
        <v>244</v>
      </c>
      <c r="AN7" t="str">
        <f t="shared" si="13"/>
        <v>"ft3",</v>
      </c>
      <c r="AP7" t="s">
        <v>261</v>
      </c>
      <c r="AQ7" t="str">
        <f t="shared" si="8"/>
        <v>"ft4",</v>
      </c>
    </row>
    <row r="8" spans="1:45" x14ac:dyDescent="0.25">
      <c r="A8" t="s">
        <v>39</v>
      </c>
      <c r="B8" t="str">
        <f t="shared" si="0"/>
        <v>"lbm/s",</v>
      </c>
      <c r="D8" t="s">
        <v>13</v>
      </c>
      <c r="E8" t="str">
        <f t="shared" si="9"/>
        <v>"cm3/hr",</v>
      </c>
      <c r="G8" t="s">
        <v>29</v>
      </c>
      <c r="H8" t="str">
        <f t="shared" si="1"/>
        <v>"lbm/in3",</v>
      </c>
      <c r="J8" t="s">
        <v>52</v>
      </c>
      <c r="K8" t="str">
        <f t="shared" si="10"/>
        <v>"sccs",</v>
      </c>
      <c r="M8" t="s">
        <v>103</v>
      </c>
      <c r="N8" t="str">
        <f t="shared" si="11"/>
        <v>"yd",</v>
      </c>
      <c r="S8" t="str">
        <f t="shared" si="12"/>
        <v>yd/s</v>
      </c>
      <c r="T8" t="str">
        <f t="shared" si="3"/>
        <v>"yd/s",</v>
      </c>
      <c r="W8" t="str">
        <f>$T3</f>
        <v>"m/s",</v>
      </c>
      <c r="AB8" t="s">
        <v>180</v>
      </c>
      <c r="AC8" t="str">
        <f t="shared" si="4"/>
        <v>"Rank",</v>
      </c>
      <c r="AG8" t="s">
        <v>198</v>
      </c>
      <c r="AH8" t="str">
        <f t="shared" si="14"/>
        <v>"lb/in2",</v>
      </c>
      <c r="AJ8" t="s">
        <v>228</v>
      </c>
      <c r="AK8" t="str">
        <f t="shared" si="6"/>
        <v>"yd2",</v>
      </c>
      <c r="AM8" t="s">
        <v>245</v>
      </c>
      <c r="AN8" t="str">
        <f t="shared" si="13"/>
        <v>"yd3",</v>
      </c>
      <c r="AP8" t="s">
        <v>262</v>
      </c>
      <c r="AQ8" t="str">
        <f t="shared" si="8"/>
        <v>"yd4",</v>
      </c>
    </row>
    <row r="9" spans="1:45" x14ac:dyDescent="0.25">
      <c r="A9" t="s">
        <v>112</v>
      </c>
      <c r="B9" t="str">
        <f t="shared" si="0"/>
        <v>"lbm/min",</v>
      </c>
      <c r="D9" t="s">
        <v>14</v>
      </c>
      <c r="E9" t="str">
        <f t="shared" si="9"/>
        <v>"L/s",</v>
      </c>
      <c r="G9" t="s">
        <v>30</v>
      </c>
      <c r="H9" t="str">
        <f t="shared" si="1"/>
        <v>"lbm/ft3",</v>
      </c>
      <c r="J9" t="s">
        <v>53</v>
      </c>
      <c r="K9" t="str">
        <f t="shared" si="10"/>
        <v>"sccm",</v>
      </c>
      <c r="M9" t="s">
        <v>104</v>
      </c>
      <c r="N9" t="str">
        <f t="shared" si="11"/>
        <v>"mi",</v>
      </c>
      <c r="S9" t="str">
        <f t="shared" si="12"/>
        <v>mi/s</v>
      </c>
      <c r="T9" t="str">
        <f t="shared" si="3"/>
        <v>"mi/s",</v>
      </c>
      <c r="W9" t="str">
        <f>$T11</f>
        <v>"m/min",</v>
      </c>
      <c r="AB9" t="s">
        <v>181</v>
      </c>
      <c r="AC9" t="str">
        <f t="shared" si="4"/>
        <v>"Rankine",</v>
      </c>
      <c r="AG9" t="s">
        <v>199</v>
      </c>
      <c r="AH9" t="str">
        <f t="shared" si="14"/>
        <v>"mmHg",</v>
      </c>
      <c r="AJ9" t="s">
        <v>229</v>
      </c>
      <c r="AK9" t="str">
        <f t="shared" si="6"/>
        <v>"mi2",</v>
      </c>
      <c r="AM9" t="s">
        <v>246</v>
      </c>
      <c r="AN9" t="str">
        <f t="shared" si="13"/>
        <v>"mi3",</v>
      </c>
      <c r="AP9" t="s">
        <v>263</v>
      </c>
      <c r="AQ9" t="str">
        <f t="shared" si="8"/>
        <v>"mi4",</v>
      </c>
      <c r="AS9" t="s">
        <v>276</v>
      </c>
    </row>
    <row r="10" spans="1:45" x14ac:dyDescent="0.25">
      <c r="A10" t="s">
        <v>40</v>
      </c>
      <c r="B10" t="str">
        <f t="shared" si="0"/>
        <v>"lbm/hr",</v>
      </c>
      <c r="D10" t="s">
        <v>122</v>
      </c>
      <c r="E10" t="str">
        <f t="shared" si="9"/>
        <v>"lps",</v>
      </c>
      <c r="G10" t="s">
        <v>31</v>
      </c>
      <c r="H10" t="str">
        <f t="shared" si="1"/>
        <v>"lbm/gal",</v>
      </c>
      <c r="J10" t="s">
        <v>54</v>
      </c>
      <c r="K10" t="str">
        <f t="shared" si="10"/>
        <v>"scch",</v>
      </c>
      <c r="M10" t="s">
        <v>83</v>
      </c>
      <c r="N10" t="str">
        <f>"Case "&amp;LEFT(_xlfn.CONCAT(N2:N9),LEN(_xlfn.CONCAT(N2:N9))-1)</f>
        <v>Case "km","m","cm","mm","in","ft","yd","mi"</v>
      </c>
      <c r="S10" t="str">
        <f>M2&amp;"/"&amp;$P$3</f>
        <v>km/min</v>
      </c>
      <c r="T10" t="str">
        <f t="shared" si="3"/>
        <v>"km/min",</v>
      </c>
      <c r="W10" t="str">
        <f>$T19</f>
        <v>"m/hr",</v>
      </c>
      <c r="AB10" t="s">
        <v>83</v>
      </c>
      <c r="AC10" t="str">
        <f>"Case "&amp;LEFT(_xlfn.CONCAT(AC2:AC9),LEN(_xlfn.CONCAT(AC2:AC9))-1)</f>
        <v>Case "F","°F","C","°C","K","R","Rank","Rankine"</v>
      </c>
      <c r="AG10" t="s">
        <v>200</v>
      </c>
      <c r="AH10" t="str">
        <f t="shared" si="14"/>
        <v>"atm",</v>
      </c>
      <c r="AJ10" t="s">
        <v>230</v>
      </c>
      <c r="AK10" t="str">
        <f t="shared" si="6"/>
        <v>"km^2",</v>
      </c>
      <c r="AM10" t="s">
        <v>273</v>
      </c>
      <c r="AN10" t="str">
        <f t="shared" si="13"/>
        <v>"ml",</v>
      </c>
      <c r="AP10" t="s">
        <v>264</v>
      </c>
      <c r="AQ10" t="str">
        <f t="shared" si="8"/>
        <v>"km^4",</v>
      </c>
      <c r="AS10" t="s">
        <v>230</v>
      </c>
    </row>
    <row r="11" spans="1:45" x14ac:dyDescent="0.25">
      <c r="A11" t="s">
        <v>83</v>
      </c>
      <c r="B11" t="str">
        <f>"Case "&amp;LEFT(_xlfn.CONCAT(B2:B10),LEN(_xlfn.CONCAT(B2:B10))-1)</f>
        <v>Case "kg/s","kg/min","kg/hr","g/s","g/min","g/hr","lbm/s","lbm/min","lbm/hr"</v>
      </c>
      <c r="D11" t="s">
        <v>115</v>
      </c>
      <c r="E11" t="str">
        <f t="shared" ref="E11:E24" si="15">""""&amp;D11&amp;""","</f>
        <v>"L/min",</v>
      </c>
      <c r="G11" t="s">
        <v>83</v>
      </c>
      <c r="H11" t="str">
        <f>"Case "&amp;LEFT(_xlfn.CONCAT(H2:H10),LEN(_xlfn.CONCAT(H2:H10))-1)</f>
        <v>Case "kg/m3","kg/cm3","kg/L","g/m3","g/cm3","g/L","lbm/in3","lbm/ft3","lbm/gal"</v>
      </c>
      <c r="J11" t="s">
        <v>55</v>
      </c>
      <c r="K11" t="str">
        <f t="shared" si="10"/>
        <v>"scfs",</v>
      </c>
      <c r="S11" t="str">
        <f t="shared" ref="S11:S17" si="16">M3&amp;"/"&amp;$P$3</f>
        <v>m/min</v>
      </c>
      <c r="T11" t="str">
        <f t="shared" si="3"/>
        <v>"m/min",</v>
      </c>
      <c r="V11" t="s">
        <v>164</v>
      </c>
      <c r="W11" t="str">
        <f>"Case "&amp;LEFT(_xlfn.CONCAT(W8:W10),LEN(_xlfn.CONCAT(W8:W10))-1)</f>
        <v>Case "m/s","m/min","m/hr"</v>
      </c>
      <c r="AG11" t="s">
        <v>3</v>
      </c>
      <c r="AH11" t="str">
        <f t="shared" si="14"/>
        <v>"Pa",</v>
      </c>
      <c r="AJ11" t="s">
        <v>231</v>
      </c>
      <c r="AK11" t="str">
        <f t="shared" si="6"/>
        <v>"m^2",</v>
      </c>
      <c r="AM11" t="s">
        <v>274</v>
      </c>
      <c r="AN11" t="str">
        <f t="shared" si="13"/>
        <v>"mL",</v>
      </c>
      <c r="AP11" t="s">
        <v>265</v>
      </c>
      <c r="AQ11" t="str">
        <f t="shared" si="8"/>
        <v>"m^4",</v>
      </c>
      <c r="AS11" t="s">
        <v>231</v>
      </c>
    </row>
    <row r="12" spans="1:45" x14ac:dyDescent="0.25">
      <c r="D12" t="s">
        <v>120</v>
      </c>
      <c r="E12" t="str">
        <f t="shared" si="15"/>
        <v>"lpm",</v>
      </c>
      <c r="J12" t="s">
        <v>56</v>
      </c>
      <c r="K12" t="str">
        <f t="shared" si="10"/>
        <v>"scfm",</v>
      </c>
      <c r="S12" t="str">
        <f t="shared" si="16"/>
        <v>cm/min</v>
      </c>
      <c r="T12" t="str">
        <f t="shared" si="3"/>
        <v>"cm/min",</v>
      </c>
      <c r="AB12" t="s">
        <v>183</v>
      </c>
      <c r="AC12" t="s">
        <v>190</v>
      </c>
      <c r="AD12" t="s">
        <v>191</v>
      </c>
      <c r="AG12" t="s">
        <v>70</v>
      </c>
      <c r="AH12" t="str">
        <f t="shared" si="14"/>
        <v>"kPa",</v>
      </c>
      <c r="AJ12" t="s">
        <v>232</v>
      </c>
      <c r="AK12" t="str">
        <f t="shared" si="6"/>
        <v>"cm^2",</v>
      </c>
      <c r="AM12" t="s">
        <v>272</v>
      </c>
      <c r="AN12" t="str">
        <f t="shared" si="13"/>
        <v>"L",</v>
      </c>
      <c r="AP12" t="s">
        <v>266</v>
      </c>
      <c r="AQ12" t="str">
        <f t="shared" si="8"/>
        <v>"cm^4",</v>
      </c>
      <c r="AS12" t="s">
        <v>232</v>
      </c>
    </row>
    <row r="13" spans="1:45" x14ac:dyDescent="0.25">
      <c r="D13" t="s">
        <v>15</v>
      </c>
      <c r="E13" t="str">
        <f t="shared" si="15"/>
        <v>"L/hr",</v>
      </c>
      <c r="J13" t="s">
        <v>57</v>
      </c>
      <c r="K13" t="str">
        <f t="shared" si="10"/>
        <v>"scfh",</v>
      </c>
      <c r="S13" t="str">
        <f t="shared" si="16"/>
        <v>mm/min</v>
      </c>
      <c r="T13" t="str">
        <f t="shared" si="3"/>
        <v>"mm/min",</v>
      </c>
      <c r="W13" t="s">
        <v>163</v>
      </c>
      <c r="AB13" t="str">
        <f>$AC2</f>
        <v>"F",</v>
      </c>
      <c r="AD13" t="s">
        <v>192</v>
      </c>
      <c r="AG13" t="s">
        <v>201</v>
      </c>
      <c r="AH13" t="str">
        <f t="shared" si="14"/>
        <v>"MPa",</v>
      </c>
      <c r="AJ13" t="s">
        <v>233</v>
      </c>
      <c r="AK13" t="str">
        <f t="shared" si="6"/>
        <v>"mm^2",</v>
      </c>
      <c r="AM13" t="s">
        <v>275</v>
      </c>
      <c r="AN13" t="str">
        <f t="shared" si="13"/>
        <v>"gal",</v>
      </c>
      <c r="AP13" t="s">
        <v>267</v>
      </c>
      <c r="AQ13" t="str">
        <f t="shared" si="8"/>
        <v>"mm^4",</v>
      </c>
      <c r="AS13" t="s">
        <v>233</v>
      </c>
    </row>
    <row r="14" spans="1:45" x14ac:dyDescent="0.25">
      <c r="D14" t="s">
        <v>16</v>
      </c>
      <c r="E14" t="str">
        <f t="shared" si="15"/>
        <v>"in3/s",</v>
      </c>
      <c r="J14" t="s">
        <v>58</v>
      </c>
      <c r="K14" t="str">
        <f t="shared" si="10"/>
        <v>"scis",</v>
      </c>
      <c r="S14" t="str">
        <f t="shared" si="16"/>
        <v>in/min</v>
      </c>
      <c r="T14" t="str">
        <f t="shared" si="3"/>
        <v>"in/min",</v>
      </c>
      <c r="W14" t="str">
        <f>$T4</f>
        <v>"cm/s",</v>
      </c>
      <c r="AB14" t="str">
        <f>$AC3</f>
        <v>"°F",</v>
      </c>
      <c r="AG14" t="s">
        <v>202</v>
      </c>
      <c r="AH14" t="str">
        <f t="shared" si="14"/>
        <v>"GPa",</v>
      </c>
      <c r="AJ14" t="s">
        <v>234</v>
      </c>
      <c r="AK14" t="str">
        <f t="shared" si="6"/>
        <v>"in^2",</v>
      </c>
      <c r="AM14" t="s">
        <v>247</v>
      </c>
      <c r="AN14" t="str">
        <f t="shared" si="13"/>
        <v>"km^3",</v>
      </c>
      <c r="AP14" t="s">
        <v>268</v>
      </c>
      <c r="AQ14" t="str">
        <f t="shared" si="8"/>
        <v>"in^4",</v>
      </c>
      <c r="AS14" t="s">
        <v>234</v>
      </c>
    </row>
    <row r="15" spans="1:45" x14ac:dyDescent="0.25">
      <c r="D15" t="s">
        <v>116</v>
      </c>
      <c r="E15" t="str">
        <f t="shared" si="15"/>
        <v>"in3/min",</v>
      </c>
      <c r="J15" t="s">
        <v>59</v>
      </c>
      <c r="K15" t="str">
        <f t="shared" si="10"/>
        <v>"scim",</v>
      </c>
      <c r="S15" t="str">
        <f t="shared" si="16"/>
        <v>ft/min</v>
      </c>
      <c r="T15" t="str">
        <f t="shared" si="3"/>
        <v>"ft/min",</v>
      </c>
      <c r="W15" t="str">
        <f>$T12</f>
        <v>"cm/min",</v>
      </c>
      <c r="AC15" t="s">
        <v>193</v>
      </c>
      <c r="AG15" t="s">
        <v>203</v>
      </c>
      <c r="AH15" t="str">
        <f t="shared" si="14"/>
        <v>"torr",</v>
      </c>
      <c r="AJ15" t="s">
        <v>235</v>
      </c>
      <c r="AK15" t="str">
        <f t="shared" si="6"/>
        <v>"ft^2",</v>
      </c>
      <c r="AM15" t="s">
        <v>248</v>
      </c>
      <c r="AN15" t="str">
        <f t="shared" si="13"/>
        <v>"m^3",</v>
      </c>
      <c r="AP15" t="s">
        <v>269</v>
      </c>
      <c r="AQ15" t="str">
        <f t="shared" si="8"/>
        <v>"ft^4",</v>
      </c>
      <c r="AS15" t="s">
        <v>235</v>
      </c>
    </row>
    <row r="16" spans="1:45" x14ac:dyDescent="0.25">
      <c r="D16" t="s">
        <v>17</v>
      </c>
      <c r="E16" t="str">
        <f t="shared" si="15"/>
        <v>"in3/hr",</v>
      </c>
      <c r="J16" t="s">
        <v>60</v>
      </c>
      <c r="K16" t="str">
        <f t="shared" si="10"/>
        <v>"scih",</v>
      </c>
      <c r="S16" t="str">
        <f t="shared" si="16"/>
        <v>yd/min</v>
      </c>
      <c r="T16" t="str">
        <f t="shared" si="3"/>
        <v>"yd/min",</v>
      </c>
      <c r="W16" t="str">
        <f>$T20</f>
        <v>"cm/hr",</v>
      </c>
      <c r="AB16" t="s">
        <v>184</v>
      </c>
      <c r="AC16" t="s">
        <v>182</v>
      </c>
      <c r="AD16" t="str">
        <f>"Case "&amp;LEFT(_xlfn.CONCAT($AB$13:$AB$14),LEN(_xlfn.CONCAT($AB$13:$AB$14))-1)</f>
        <v>Case "F","°F"</v>
      </c>
      <c r="AE16" t="s">
        <v>62</v>
      </c>
      <c r="AG16" t="s">
        <v>205</v>
      </c>
      <c r="AH16" t="str">
        <f t="shared" si="14"/>
        <v>"Torr",</v>
      </c>
      <c r="AJ16" t="s">
        <v>236</v>
      </c>
      <c r="AK16" t="str">
        <f t="shared" si="6"/>
        <v>"yd^2",</v>
      </c>
      <c r="AM16" t="s">
        <v>249</v>
      </c>
      <c r="AN16" t="str">
        <f t="shared" si="13"/>
        <v>"cm^3",</v>
      </c>
      <c r="AP16" t="s">
        <v>270</v>
      </c>
      <c r="AQ16" t="str">
        <f t="shared" si="8"/>
        <v>"yd^4",</v>
      </c>
      <c r="AS16" t="s">
        <v>236</v>
      </c>
    </row>
    <row r="17" spans="4:52" x14ac:dyDescent="0.25">
      <c r="D17" t="s">
        <v>18</v>
      </c>
      <c r="E17" t="str">
        <f t="shared" si="15"/>
        <v>"ft3/s",</v>
      </c>
      <c r="J17" t="s">
        <v>83</v>
      </c>
      <c r="K17" t="str">
        <f>"Case "&amp;LEFT(_xlfn.CONCAT(K2:K16),LEN(_xlfn.CONCAT(K2:K16))-1)</f>
        <v>Case "scms","scmm","scmh","slps","slpm","slph","sccs","sccm","scch","scfs","scfm","scfh","scis","scim","scih"</v>
      </c>
      <c r="S17" t="str">
        <f t="shared" si="16"/>
        <v>mi/min</v>
      </c>
      <c r="T17" t="str">
        <f t="shared" si="3"/>
        <v>"mi/min",</v>
      </c>
      <c r="V17" t="s">
        <v>165</v>
      </c>
      <c r="W17" t="str">
        <f>"Case "&amp;LEFT(_xlfn.CONCAT(W14:W16),LEN(_xlfn.CONCAT(W14:W16))-1)</f>
        <v>Case "cm/s","cm/min","cm/hr"</v>
      </c>
      <c r="AB17" t="str">
        <f>$AC4</f>
        <v>"C",</v>
      </c>
      <c r="AD17" t="str">
        <f>$AD$12&amp;" = "&amp;""""&amp;AE16&amp;""""</f>
        <v>from_unit_unit = "F"</v>
      </c>
      <c r="AG17" t="s">
        <v>204</v>
      </c>
      <c r="AH17" t="str">
        <f t="shared" si="14"/>
        <v>"bar",</v>
      </c>
      <c r="AJ17" t="s">
        <v>237</v>
      </c>
      <c r="AK17" t="str">
        <f t="shared" si="6"/>
        <v>"mi^2",</v>
      </c>
      <c r="AM17" t="s">
        <v>250</v>
      </c>
      <c r="AN17" t="str">
        <f t="shared" si="13"/>
        <v>"mm^3",</v>
      </c>
      <c r="AP17" t="s">
        <v>271</v>
      </c>
      <c r="AQ17" t="str">
        <f t="shared" si="8"/>
        <v>"mi^4",</v>
      </c>
      <c r="AS17" t="s">
        <v>237</v>
      </c>
    </row>
    <row r="18" spans="4:52" x14ac:dyDescent="0.25">
      <c r="D18" t="s">
        <v>117</v>
      </c>
      <c r="E18" t="str">
        <f t="shared" si="15"/>
        <v>"ft3/min",</v>
      </c>
      <c r="S18" t="str">
        <f>M2&amp;"/"&amp;$P$4</f>
        <v>km/hr</v>
      </c>
      <c r="T18" t="str">
        <f t="shared" si="3"/>
        <v>"km/hr",</v>
      </c>
      <c r="AB18" t="str">
        <f>$AC5</f>
        <v>"°C",</v>
      </c>
      <c r="AC18" t="s">
        <v>187</v>
      </c>
      <c r="AD18" t="str">
        <f>"Case "&amp;LEFT(_xlfn.CONCAT($AB$17:$AB$18),LEN(_xlfn.CONCAT($AB$17:$AB$18))-1)</f>
        <v>Case "C","°C"</v>
      </c>
      <c r="AE18" t="s">
        <v>177</v>
      </c>
      <c r="AH18" t="str">
        <f>"Case "&amp;LEFT(_xlfn.CONCAT(AH2:AH17),LEN(_xlfn.CONCAT(AH2:AH17))-1)</f>
        <v>Case "psia","psig","psid","psi","ksi","lbf/in2","lb/in2","mmHg","atm","Pa","kPa","MPa","GPa","torr","Torr","bar"</v>
      </c>
      <c r="AK18" t="str">
        <f>"Case "&amp;LEFT(_xlfn.CONCAT(AK2:AK17),LEN(_xlfn.CONCAT(AK2:AK17))-1)</f>
        <v>Case "km2","m2","cm2","mm2","in2","ft2","yd2","mi2","km^2","m^2","cm^2","mm^2","in^2","ft^2","yd^2","mi^2"</v>
      </c>
      <c r="AM18" t="s">
        <v>251</v>
      </c>
      <c r="AN18" t="str">
        <f t="shared" si="13"/>
        <v>"in^3",</v>
      </c>
      <c r="AQ18" t="str">
        <f>"Case "&amp;LEFT(_xlfn.CONCAT(AQ2:AQ17),LEN(_xlfn.CONCAT(AQ2:AQ17))-1)</f>
        <v>Case "km4","m4","cm4","mm4","in4","ft4","yd4","mi4","km^4","m^4","cm^4","mm^4","in^4","ft^4","yd^4","mi^4"</v>
      </c>
    </row>
    <row r="19" spans="4:52" x14ac:dyDescent="0.25">
      <c r="D19" t="s">
        <v>19</v>
      </c>
      <c r="E19" t="str">
        <f t="shared" si="15"/>
        <v>"ft3/hr",</v>
      </c>
      <c r="S19" t="str">
        <f t="shared" ref="S19:S25" si="17">M3&amp;"/"&amp;$P$4</f>
        <v>m/hr</v>
      </c>
      <c r="T19" t="str">
        <f t="shared" si="3"/>
        <v>"m/hr",</v>
      </c>
      <c r="W19" t="s">
        <v>166</v>
      </c>
      <c r="AD19" t="str">
        <f>$AD$12&amp;" = "&amp;""""&amp;AE18&amp;""""</f>
        <v>from_unit_unit = "C"</v>
      </c>
      <c r="AH19" t="str">
        <f>"fluidUnitType = "&amp;""""&amp;"Pressure"&amp;""""</f>
        <v>fluidUnitType = "Pressure"</v>
      </c>
      <c r="AM19" t="s">
        <v>252</v>
      </c>
      <c r="AN19" t="str">
        <f t="shared" si="13"/>
        <v>"ft^3",</v>
      </c>
    </row>
    <row r="20" spans="4:52" x14ac:dyDescent="0.25">
      <c r="D20" t="s">
        <v>20</v>
      </c>
      <c r="E20" t="str">
        <f t="shared" si="15"/>
        <v>"gal/s",</v>
      </c>
      <c r="S20" t="str">
        <f t="shared" si="17"/>
        <v>cm/hr</v>
      </c>
      <c r="T20" t="str">
        <f t="shared" si="3"/>
        <v>"cm/hr",</v>
      </c>
      <c r="W20" t="str">
        <f>$T5</f>
        <v>"mm/s",</v>
      </c>
      <c r="AB20" t="s">
        <v>185</v>
      </c>
      <c r="AC20" t="s">
        <v>188</v>
      </c>
      <c r="AD20" t="str">
        <f>"Case "&amp;LEFT(_xlfn.CONCAT($AB$21),LEN(_xlfn.CONCAT($AB$21))-1)</f>
        <v>Case "K"</v>
      </c>
      <c r="AE20" t="s">
        <v>2</v>
      </c>
      <c r="AM20" t="s">
        <v>253</v>
      </c>
      <c r="AN20" t="str">
        <f t="shared" si="13"/>
        <v>"yd^3",</v>
      </c>
    </row>
    <row r="21" spans="4:52" x14ac:dyDescent="0.25">
      <c r="D21" t="s">
        <v>123</v>
      </c>
      <c r="E21" t="str">
        <f t="shared" si="15"/>
        <v>"gps",</v>
      </c>
      <c r="S21" t="str">
        <f t="shared" si="17"/>
        <v>mm/hr</v>
      </c>
      <c r="T21" t="str">
        <f t="shared" si="3"/>
        <v>"mm/hr",</v>
      </c>
      <c r="W21" t="str">
        <f>$T13</f>
        <v>"mm/min",</v>
      </c>
      <c r="AB21" t="str">
        <f>$AC6</f>
        <v>"K",</v>
      </c>
      <c r="AD21" t="str">
        <f>$AD$12&amp;" = "&amp;""""&amp;AE20&amp;""""</f>
        <v>from_unit_unit = "K"</v>
      </c>
      <c r="AG21" t="str">
        <f>AH5</f>
        <v>"psi",</v>
      </c>
      <c r="AM21" t="s">
        <v>254</v>
      </c>
      <c r="AN21" t="str">
        <f t="shared" si="13"/>
        <v>"mi^3",</v>
      </c>
    </row>
    <row r="22" spans="4:52" x14ac:dyDescent="0.25">
      <c r="D22" t="s">
        <v>118</v>
      </c>
      <c r="E22" t="str">
        <f t="shared" si="15"/>
        <v>"gal/min",</v>
      </c>
      <c r="S22" t="str">
        <f t="shared" si="17"/>
        <v>in/hr</v>
      </c>
      <c r="T22" t="str">
        <f t="shared" si="3"/>
        <v>"in/hr",</v>
      </c>
      <c r="W22" t="str">
        <f>$T21</f>
        <v>"mm/hr",</v>
      </c>
      <c r="AC22" t="s">
        <v>189</v>
      </c>
      <c r="AD22" t="str">
        <f>"Case "&amp;LEFT(_xlfn.CONCAT($AB$24:$AB$26),LEN(_xlfn.CONCAT($AB$24:$AB$26))-1)</f>
        <v>Case "R","Rank","Rankine"</v>
      </c>
      <c r="AE22" t="s">
        <v>180</v>
      </c>
      <c r="AG22" t="str">
        <f>AH9</f>
        <v>"mmHg",</v>
      </c>
      <c r="AN22" t="str">
        <f>"Case "&amp;LEFT(_xlfn.CONCAT(AN2:AN21),LEN(_xlfn.CONCAT(AN2:AN21))-1)</f>
        <v>Case "km3","m3","cm3","mm3","in3","ft3","yd3","mi3","ml","mL","L","gal","km^3","m^3","cm^3","mm^3","in^3","ft^3","yd^3","mi^3"</v>
      </c>
    </row>
    <row r="23" spans="4:52" x14ac:dyDescent="0.25">
      <c r="D23" t="s">
        <v>119</v>
      </c>
      <c r="E23" t="str">
        <f t="shared" si="15"/>
        <v>"gpm",</v>
      </c>
      <c r="S23" t="str">
        <f t="shared" si="17"/>
        <v>ft/hr</v>
      </c>
      <c r="T23" t="str">
        <f t="shared" si="3"/>
        <v>"ft/hr",</v>
      </c>
      <c r="V23" t="s">
        <v>167</v>
      </c>
      <c r="W23" t="str">
        <f>"Case "&amp;LEFT(_xlfn.CONCAT(W20:W22),LEN(_xlfn.CONCAT(W20:W22))-1)</f>
        <v>Case "mm/s","mm/min","mm/hr"</v>
      </c>
      <c r="AB23" t="s">
        <v>186</v>
      </c>
      <c r="AD23" t="str">
        <f>$AD$12&amp;" = "&amp;""""&amp;AE22&amp;""""</f>
        <v>from_unit_unit = "Rank"</v>
      </c>
      <c r="AG23" t="str">
        <f>AH10</f>
        <v>"atm",</v>
      </c>
    </row>
    <row r="24" spans="4:52" x14ac:dyDescent="0.25">
      <c r="D24" t="s">
        <v>21</v>
      </c>
      <c r="E24" t="str">
        <f t="shared" si="15"/>
        <v>"gal/hr",</v>
      </c>
      <c r="S24" t="str">
        <f>M8&amp;"/"&amp;$P$4</f>
        <v>yd/hr</v>
      </c>
      <c r="T24" t="str">
        <f t="shared" si="3"/>
        <v>"yd/hr",</v>
      </c>
      <c r="AB24" t="str">
        <f>$AC7</f>
        <v>"R",</v>
      </c>
      <c r="AG24" t="str">
        <f>AH11</f>
        <v>"Pa",</v>
      </c>
    </row>
    <row r="25" spans="4:52" x14ac:dyDescent="0.25">
      <c r="D25" t="s">
        <v>83</v>
      </c>
      <c r="E25" t="str">
        <f>"Case "&amp;LEFT(_xlfn.CONCAT(E2:E24),LEN(_xlfn.CONCAT(E2:E24))-1)</f>
        <v>Case "ccs","m3/s","m3/min","m3/hr","cm3/s","cm3/min","cm3/hr","L/s","lps","L/min","lpm","L/hr","in3/s","in3/min","in3/hr","ft3/s","ft3/min","ft3/hr","gal/s","gps","gal/min","gpm","gal/hr"</v>
      </c>
      <c r="S25" t="str">
        <f t="shared" si="17"/>
        <v>mi/hr</v>
      </c>
      <c r="T25" t="str">
        <f t="shared" si="3"/>
        <v>"mi/hr",</v>
      </c>
      <c r="W25" t="s">
        <v>168</v>
      </c>
      <c r="AB25" t="str">
        <f>$AC8</f>
        <v>"Rank",</v>
      </c>
      <c r="AC25" t="s">
        <v>182</v>
      </c>
      <c r="AD25" t="str">
        <f>"Case "&amp;LEFT(_xlfn.CONCAT($AB$13:$AB$14),LEN(_xlfn.CONCAT($AB$13:$AB$14))-1)</f>
        <v>Case "F","°F"</v>
      </c>
      <c r="AE25" t="s">
        <v>62</v>
      </c>
      <c r="AG25" t="str">
        <f>AH16</f>
        <v>"Torr",</v>
      </c>
      <c r="AJ25" t="str">
        <f t="shared" ref="AJ25:AJ32" si="18">"Case "&amp;AK2&amp;AK10</f>
        <v>Case "km2","km^2",</v>
      </c>
      <c r="AK25">
        <v>34</v>
      </c>
      <c r="AL25" t="str" cm="1">
        <f t="array" aca="1" ref="AL25" ca="1">INDIRECT("AJ"&amp;AK25)</f>
        <v>Case "km2","km^2"</v>
      </c>
      <c r="AN25" t="str">
        <f>"Case "&amp;AN2&amp;AN14</f>
        <v>Case "km3","km^3",</v>
      </c>
      <c r="AQ25">
        <v>34</v>
      </c>
      <c r="AR25" t="str" cm="1">
        <f t="array" aca="1" ref="AR25" ca="1">INDIRECT("AN"&amp;AQ25)</f>
        <v>Case "km3","km^3"</v>
      </c>
      <c r="AW25" t="str">
        <f>"Case "&amp;AQ2&amp;AQ10</f>
        <v>Case "km4","km^4",</v>
      </c>
      <c r="AY25">
        <v>34</v>
      </c>
      <c r="AZ25" t="str" cm="1">
        <f t="array" aca="1" ref="AZ25" ca="1">INDIRECT("AW"&amp;AY25)</f>
        <v>Case "km4","km^4"</v>
      </c>
    </row>
    <row r="26" spans="4:52" x14ac:dyDescent="0.25">
      <c r="S26" t="s">
        <v>124</v>
      </c>
      <c r="T26" t="str">
        <f t="shared" si="3"/>
        <v>"mph",</v>
      </c>
      <c r="W26" t="str">
        <f>$T6</f>
        <v>"in/s",</v>
      </c>
      <c r="AB26" t="str">
        <f>$AC9</f>
        <v>"Rankine",</v>
      </c>
      <c r="AD26" t="str">
        <f>$AD$13&amp;" = "&amp;""""&amp;AE25&amp;""""</f>
        <v>to_unit_unit = "F"</v>
      </c>
      <c r="AG26" t="str">
        <f>"Case "&amp;LEFT(_xlfn.CONCAT(AG21:AG25),LEN(_xlfn.CONCAT(AG21:AG25))-1)</f>
        <v>Case "psi","mmHg","atm","Pa","Torr"</v>
      </c>
      <c r="AJ26" t="str">
        <f t="shared" si="18"/>
        <v>Case "m2","m^2",</v>
      </c>
      <c r="AK26">
        <v>43</v>
      </c>
      <c r="AL26" t="str" cm="1">
        <f t="array" aca="1" ref="AL26" ca="1">INDIRECT("AJ"&amp;AK26)</f>
        <v>from_unit_unit = "km^2"</v>
      </c>
      <c r="AN26" t="str">
        <f>"Case "&amp;AN3&amp;AN15</f>
        <v>Case "m3","m^3",</v>
      </c>
      <c r="AQ26">
        <v>43</v>
      </c>
      <c r="AR26" t="str" cm="1">
        <f t="array" aca="1" ref="AR26" ca="1">INDIRECT("AN"&amp;AQ26)</f>
        <v>from_unit_unit = "km^3"</v>
      </c>
      <c r="AW26" t="str">
        <f t="shared" ref="AW26:AW32" si="19">"Case "&amp;AQ3&amp;AQ11</f>
        <v>Case "m4","m^4",</v>
      </c>
      <c r="AY26">
        <v>43</v>
      </c>
      <c r="AZ26" t="str" cm="1">
        <f t="array" aca="1" ref="AZ26" ca="1">INDIRECT("AW"&amp;AY26)</f>
        <v>from_unit_unit = "km^2"</v>
      </c>
    </row>
    <row r="27" spans="4:52" x14ac:dyDescent="0.25">
      <c r="S27" t="s">
        <v>83</v>
      </c>
      <c r="T27" t="str">
        <f>"Case "&amp;LEFT(_xlfn.CONCAT(T2:T26),LEN(_xlfn.CONCAT(T2:T26))-1)</f>
        <v>Case "km/s","m/s","cm/s","mm/s","in/s","ft/s","yd/s","mi/s","km/min","m/min","cm/min","mm/min","in/min","ft/min","yd/min","mi/min","km/hr","m/hr","cm/hr","mm/hr","in/hr","ft/hr","yd/hr","mi/hr","mph"</v>
      </c>
      <c r="W27" t="str">
        <f>$T14</f>
        <v>"in/min",</v>
      </c>
      <c r="AC27" t="s">
        <v>187</v>
      </c>
      <c r="AD27" t="str">
        <f>"Case "&amp;LEFT(_xlfn.CONCAT($AB$17:$AB$18),LEN(_xlfn.CONCAT($AB$17:$AB$18))-1)</f>
        <v>Case "C","°C"</v>
      </c>
      <c r="AE27" t="s">
        <v>177</v>
      </c>
      <c r="AJ27" t="str">
        <f t="shared" si="18"/>
        <v>Case "cm2","cm^2",</v>
      </c>
      <c r="AK27">
        <f t="shared" ref="AK27:AK40" si="20">AK25+1</f>
        <v>35</v>
      </c>
      <c r="AL27" t="str" cm="1">
        <f t="array" aca="1" ref="AL27" ca="1">INDIRECT("AJ"&amp;AK27)</f>
        <v>Case "m2","m^2"</v>
      </c>
      <c r="AN27" t="str">
        <f>"Case "&amp;AN4&amp;AN16</f>
        <v>Case "cm3","cm^3",</v>
      </c>
      <c r="AQ27">
        <f t="shared" ref="AQ27:AQ40" si="21">AQ25+1</f>
        <v>35</v>
      </c>
      <c r="AR27" t="str" cm="1">
        <f t="array" aca="1" ref="AR27" ca="1">INDIRECT("AN"&amp;AQ27)</f>
        <v>Case "m3","m^3"</v>
      </c>
      <c r="AW27" t="str">
        <f t="shared" si="19"/>
        <v>Case "cm4","cm^4",</v>
      </c>
      <c r="AY27">
        <f t="shared" ref="AY27:AY40" si="22">AY25+1</f>
        <v>35</v>
      </c>
      <c r="AZ27" t="str" cm="1">
        <f t="array" aca="1" ref="AZ27" ca="1">INDIRECT("AW"&amp;AY27)</f>
        <v>Case "m4","m^4"</v>
      </c>
    </row>
    <row r="28" spans="4:52" x14ac:dyDescent="0.25">
      <c r="W28" t="str">
        <f>$T22</f>
        <v>"in/hr",</v>
      </c>
      <c r="AD28" t="str">
        <f>$AD$13&amp;" = "&amp;""""&amp;AE27&amp;""""</f>
        <v>to_unit_unit = "C"</v>
      </c>
      <c r="AG28" t="s">
        <v>206</v>
      </c>
      <c r="AJ28" t="str">
        <f t="shared" si="18"/>
        <v>Case "mm2","mm^2",</v>
      </c>
      <c r="AK28">
        <f t="shared" si="20"/>
        <v>44</v>
      </c>
      <c r="AL28" t="str" cm="1">
        <f t="array" aca="1" ref="AL28" ca="1">INDIRECT("AJ"&amp;AK28)</f>
        <v>from_unit_unit = "m^2"</v>
      </c>
      <c r="AN28" t="str">
        <f t="shared" ref="AN28:AN31" si="23">"Case "&amp;AN5&amp;AN17</f>
        <v>Case "mm3","mm^3",</v>
      </c>
      <c r="AQ28">
        <f t="shared" si="21"/>
        <v>44</v>
      </c>
      <c r="AR28" t="str" cm="1">
        <f t="array" aca="1" ref="AR28" ca="1">INDIRECT("AN"&amp;AQ28)</f>
        <v>from_unit_unit = "m^3"</v>
      </c>
      <c r="AW28" t="str">
        <f t="shared" si="19"/>
        <v>Case "mm4","mm^4",</v>
      </c>
      <c r="AY28">
        <f t="shared" si="22"/>
        <v>44</v>
      </c>
      <c r="AZ28" t="str" cm="1">
        <f t="array" aca="1" ref="AZ28" ca="1">INDIRECT("AW"&amp;AY28)</f>
        <v>from_unit_unit = "m^2"</v>
      </c>
    </row>
    <row r="29" spans="4:52" x14ac:dyDescent="0.25">
      <c r="S29" t="s">
        <v>158</v>
      </c>
      <c r="T29" t="str">
        <f>"Case "&amp;LEFT(_xlfn.CONCAT(T2:T9),LEN(_xlfn.CONCAT(T2:T9))-1)</f>
        <v>Case "km/s","m/s","cm/s","mm/s","in/s","ft/s","yd/s","mi/s"</v>
      </c>
      <c r="V29" t="s">
        <v>169</v>
      </c>
      <c r="W29" t="str">
        <f>"Case "&amp;LEFT(_xlfn.CONCAT(W26:W28),LEN(_xlfn.CONCAT(W26:W28))-1)</f>
        <v>Case "in/s","in/min","in/hr"</v>
      </c>
      <c r="AC29" t="s">
        <v>188</v>
      </c>
      <c r="AD29" t="str">
        <f>"Case "&amp;LEFT(_xlfn.CONCAT($AB$21),LEN(_xlfn.CONCAT($AB$21))-1)</f>
        <v>Case "K"</v>
      </c>
      <c r="AE29" t="s">
        <v>2</v>
      </c>
      <c r="AG29" t="str">
        <f>AH2</f>
        <v>"psia",</v>
      </c>
      <c r="AJ29" t="str">
        <f t="shared" si="18"/>
        <v>Case "in2","in^2",</v>
      </c>
      <c r="AK29">
        <f t="shared" si="20"/>
        <v>36</v>
      </c>
      <c r="AL29" t="str" cm="1">
        <f t="array" aca="1" ref="AL29" ca="1">INDIRECT("AJ"&amp;AK29)</f>
        <v>Case "cm2","cm^2"</v>
      </c>
      <c r="AN29" t="str">
        <f t="shared" si="23"/>
        <v>Case "in3","in^3",</v>
      </c>
      <c r="AQ29">
        <f t="shared" si="21"/>
        <v>36</v>
      </c>
      <c r="AR29" t="str" cm="1">
        <f t="array" aca="1" ref="AR29" ca="1">INDIRECT("AN"&amp;AQ29)</f>
        <v>Case "cm3","cm^3"</v>
      </c>
      <c r="AW29" t="str">
        <f t="shared" si="19"/>
        <v>Case "in4","in^4",</v>
      </c>
      <c r="AY29">
        <f t="shared" si="22"/>
        <v>36</v>
      </c>
      <c r="AZ29" t="str" cm="1">
        <f t="array" aca="1" ref="AZ29" ca="1">INDIRECT("AW"&amp;AY29)</f>
        <v>Case "cm4","cm^4"</v>
      </c>
    </row>
    <row r="30" spans="4:52" x14ac:dyDescent="0.25">
      <c r="S30" t="s">
        <v>157</v>
      </c>
      <c r="T30" t="str">
        <f>"Case "&amp;LEFT(_xlfn.CONCAT(T10:T17),LEN(_xlfn.CONCAT(T10:T17))-1)</f>
        <v>Case "km/min","m/min","cm/min","mm/min","in/min","ft/min","yd/min","mi/min"</v>
      </c>
      <c r="AD30" t="str">
        <f>$AD$13&amp;" = "&amp;""""&amp;AE29&amp;""""</f>
        <v>to_unit_unit = "K"</v>
      </c>
      <c r="AG30" t="str">
        <f>AH4</f>
        <v>"psid",</v>
      </c>
      <c r="AJ30" t="str">
        <f t="shared" si="18"/>
        <v>Case "ft2","ft^2",</v>
      </c>
      <c r="AK30">
        <f t="shared" si="20"/>
        <v>45</v>
      </c>
      <c r="AL30" t="str" cm="1">
        <f t="array" aca="1" ref="AL30" ca="1">INDIRECT("AJ"&amp;AK30)</f>
        <v>from_unit_unit = "cm^2"</v>
      </c>
      <c r="AN30" t="str">
        <f t="shared" si="23"/>
        <v>Case "ft3","ft^3",</v>
      </c>
      <c r="AQ30">
        <f t="shared" si="21"/>
        <v>45</v>
      </c>
      <c r="AR30" t="str" cm="1">
        <f t="array" aca="1" ref="AR30" ca="1">INDIRECT("AN"&amp;AQ30)</f>
        <v>from_unit_unit = "cm^3"</v>
      </c>
      <c r="AW30" t="str">
        <f t="shared" si="19"/>
        <v>Case "ft4","ft^4",</v>
      </c>
      <c r="AY30">
        <f t="shared" si="22"/>
        <v>45</v>
      </c>
      <c r="AZ30" t="str" cm="1">
        <f t="array" aca="1" ref="AZ30" ca="1">INDIRECT("AW"&amp;AY30)</f>
        <v>from_unit_unit = "cm^2"</v>
      </c>
    </row>
    <row r="31" spans="4:52" x14ac:dyDescent="0.25">
      <c r="S31" t="s">
        <v>159</v>
      </c>
      <c r="T31" t="str">
        <f>"Case "&amp;LEFT(_xlfn.CONCAT(T18:T26),LEN(_xlfn.CONCAT(T18:T26))-1)</f>
        <v>Case "km/hr","m/hr","cm/hr","mm/hr","in/hr","ft/hr","yd/hr","mi/hr","mph"</v>
      </c>
      <c r="W31" t="s">
        <v>170</v>
      </c>
      <c r="AC31" t="s">
        <v>189</v>
      </c>
      <c r="AD31" t="str">
        <f>"Case "&amp;LEFT(_xlfn.CONCAT($AB$24:$AB$26),LEN(_xlfn.CONCAT($AB$24:$AB$26))-1)</f>
        <v>Case "R","Rank","Rankine"</v>
      </c>
      <c r="AE31" t="s">
        <v>180</v>
      </c>
      <c r="AG31" t="str">
        <f>AH5</f>
        <v>"psi",</v>
      </c>
      <c r="AJ31" t="str">
        <f t="shared" si="18"/>
        <v>Case "yd2","yd^2",</v>
      </c>
      <c r="AK31">
        <f t="shared" si="20"/>
        <v>37</v>
      </c>
      <c r="AL31" t="str" cm="1">
        <f t="array" aca="1" ref="AL31" ca="1">INDIRECT("AJ"&amp;AK31)</f>
        <v>Case "mm2","mm^2"</v>
      </c>
      <c r="AN31" t="str">
        <f t="shared" si="23"/>
        <v>Case "yd3","yd^3",</v>
      </c>
      <c r="AQ31">
        <f t="shared" si="21"/>
        <v>37</v>
      </c>
      <c r="AR31" t="str" cm="1">
        <f t="array" aca="1" ref="AR31" ca="1">INDIRECT("AN"&amp;AQ31)</f>
        <v>Case "mm3","mm^3"</v>
      </c>
      <c r="AW31" t="str">
        <f t="shared" si="19"/>
        <v>Case "yd4","yd^4",</v>
      </c>
      <c r="AY31">
        <f t="shared" si="22"/>
        <v>37</v>
      </c>
      <c r="AZ31" t="str" cm="1">
        <f t="array" aca="1" ref="AZ31" ca="1">INDIRECT("AW"&amp;AY31)</f>
        <v>Case "mm4","mm^4"</v>
      </c>
    </row>
    <row r="32" spans="4:52" x14ac:dyDescent="0.25">
      <c r="W32" t="str">
        <f>$T7</f>
        <v>"ft/s",</v>
      </c>
      <c r="AD32" t="str">
        <f>$AD$13&amp;" = "&amp;""""&amp;AE31&amp;""""</f>
        <v>to_unit_unit = "Rank"</v>
      </c>
      <c r="AG32" t="str">
        <f>AH7</f>
        <v>"lbf/in2",</v>
      </c>
      <c r="AJ32" t="str">
        <f t="shared" si="18"/>
        <v>Case "mi2","mi^2",</v>
      </c>
      <c r="AK32">
        <f t="shared" si="20"/>
        <v>46</v>
      </c>
      <c r="AL32" t="str" cm="1">
        <f t="array" aca="1" ref="AL32" ca="1">INDIRECT("AJ"&amp;AK32)</f>
        <v>from_unit_unit = "mm^2"</v>
      </c>
      <c r="AN32" t="str">
        <f>"Case "&amp;AN9&amp;AN21</f>
        <v>Case "mi3","mi^3",</v>
      </c>
      <c r="AQ32">
        <f t="shared" si="21"/>
        <v>46</v>
      </c>
      <c r="AR32" t="str" cm="1">
        <f t="array" aca="1" ref="AR32" ca="1">INDIRECT("AN"&amp;AQ32)</f>
        <v>from_unit_unit = "mm^3"</v>
      </c>
      <c r="AW32" t="str">
        <f t="shared" si="19"/>
        <v>Case "mi4","mi^4",</v>
      </c>
      <c r="AY32">
        <f t="shared" si="22"/>
        <v>46</v>
      </c>
      <c r="AZ32" t="str" cm="1">
        <f t="array" aca="1" ref="AZ32" ca="1">INDIRECT("AW"&amp;AY32)</f>
        <v>from_unit_unit = "mm^2"</v>
      </c>
    </row>
    <row r="33" spans="22:52" x14ac:dyDescent="0.25">
      <c r="W33" t="str">
        <f>$T15</f>
        <v>"ft/min",</v>
      </c>
      <c r="AG33" t="str">
        <f>AH8</f>
        <v>"lb/in2",</v>
      </c>
      <c r="AK33">
        <f t="shared" si="20"/>
        <v>38</v>
      </c>
      <c r="AL33" t="str" cm="1">
        <f t="array" aca="1" ref="AL33" ca="1">INDIRECT("AJ"&amp;AK33)</f>
        <v>Case "in2","in^2"</v>
      </c>
      <c r="AQ33">
        <f t="shared" si="21"/>
        <v>38</v>
      </c>
      <c r="AR33" t="str" cm="1">
        <f t="array" aca="1" ref="AR33" ca="1">INDIRECT("AN"&amp;AQ33)</f>
        <v>Case "in3","in^3"</v>
      </c>
      <c r="AY33">
        <f t="shared" si="22"/>
        <v>38</v>
      </c>
      <c r="AZ33" t="str" cm="1">
        <f t="array" aca="1" ref="AZ33" ca="1">INDIRECT("AW"&amp;AY33)</f>
        <v>Case "in4","in^4"</v>
      </c>
    </row>
    <row r="34" spans="22:52" x14ac:dyDescent="0.25">
      <c r="W34" t="str">
        <f>$T23</f>
        <v>"ft/hr",</v>
      </c>
      <c r="AG34" t="str">
        <f>"Case "&amp;LEFT(_xlfn.CONCAT(AG29:AG33),LEN(_xlfn.CONCAT(AG29:AG33))-1)</f>
        <v>Case "psia","psid","psi","lbf/in2","lb/in2"</v>
      </c>
      <c r="AJ34" t="str">
        <f>LEFT(_xlfn.CONCAT(AJ25),LEN(_xlfn.CONCAT(AJ25))-1)</f>
        <v>Case "km2","km^2"</v>
      </c>
      <c r="AK34">
        <f t="shared" si="20"/>
        <v>47</v>
      </c>
      <c r="AL34" t="str" cm="1">
        <f t="array" aca="1" ref="AL34" ca="1">INDIRECT("AJ"&amp;AK34)</f>
        <v>from_unit_unit = "in^2"</v>
      </c>
      <c r="AN34" t="str">
        <f t="shared" ref="AN34:AN41" si="24">LEFT(_xlfn.CONCAT(AN25),LEN(_xlfn.CONCAT(AN25))-1)</f>
        <v>Case "km3","km^3"</v>
      </c>
      <c r="AQ34">
        <f t="shared" si="21"/>
        <v>47</v>
      </c>
      <c r="AR34" t="str" cm="1">
        <f t="array" aca="1" ref="AR34" ca="1">INDIRECT("AN"&amp;AQ34)</f>
        <v>from_unit_unit = "in^3"</v>
      </c>
      <c r="AW34" t="str">
        <f>LEFT(_xlfn.CONCAT(AW25),LEN(_xlfn.CONCAT(AW25))-1)</f>
        <v>Case "km4","km^4"</v>
      </c>
      <c r="AY34">
        <f t="shared" si="22"/>
        <v>47</v>
      </c>
      <c r="AZ34" t="str" cm="1">
        <f t="array" aca="1" ref="AZ34" ca="1">INDIRECT("AW"&amp;AY34)</f>
        <v>from_unit_unit = "in^2"</v>
      </c>
    </row>
    <row r="35" spans="22:52" x14ac:dyDescent="0.25">
      <c r="V35" t="s">
        <v>171</v>
      </c>
      <c r="W35" t="str">
        <f>"Case "&amp;LEFT(_xlfn.CONCAT(W32:W34),LEN(_xlfn.CONCAT(W32:W34))-1)</f>
        <v>Case "ft/s","ft/min","ft/hr"</v>
      </c>
      <c r="AJ35" t="str">
        <f t="shared" ref="AJ35:AJ40" si="25">LEFT(_xlfn.CONCAT(AJ26),LEN(_xlfn.CONCAT(AJ26))-1)</f>
        <v>Case "m2","m^2"</v>
      </c>
      <c r="AK35">
        <f t="shared" si="20"/>
        <v>39</v>
      </c>
      <c r="AL35" t="str" cm="1">
        <f t="array" aca="1" ref="AL35" ca="1">INDIRECT("AJ"&amp;AK35)</f>
        <v>Case "ft2","ft^2"</v>
      </c>
      <c r="AN35" t="str">
        <f t="shared" si="24"/>
        <v>Case "m3","m^3"</v>
      </c>
      <c r="AQ35">
        <f t="shared" si="21"/>
        <v>39</v>
      </c>
      <c r="AR35" t="str" cm="1">
        <f t="array" aca="1" ref="AR35" ca="1">INDIRECT("AN"&amp;AQ35)</f>
        <v>Case "ft3","ft^3"</v>
      </c>
      <c r="AW35" t="str">
        <f t="shared" ref="AW35:AW40" si="26">LEFT(_xlfn.CONCAT(AW26),LEN(_xlfn.CONCAT(AW26))-1)</f>
        <v>Case "m4","m^4"</v>
      </c>
      <c r="AY35">
        <f t="shared" si="22"/>
        <v>39</v>
      </c>
      <c r="AZ35" t="str" cm="1">
        <f t="array" aca="1" ref="AZ35" ca="1">INDIRECT("AW"&amp;AY35)</f>
        <v>Case "ft4","ft^4"</v>
      </c>
    </row>
    <row r="36" spans="22:52" x14ac:dyDescent="0.25">
      <c r="AJ36" t="str">
        <f t="shared" si="25"/>
        <v>Case "cm2","cm^2"</v>
      </c>
      <c r="AK36">
        <f t="shared" si="20"/>
        <v>48</v>
      </c>
      <c r="AL36" t="str" cm="1">
        <f t="array" aca="1" ref="AL36" ca="1">INDIRECT("AJ"&amp;AK36)</f>
        <v>from_unit_unit = "ft^2"</v>
      </c>
      <c r="AN36" t="str">
        <f t="shared" si="24"/>
        <v>Case "cm3","cm^3"</v>
      </c>
      <c r="AQ36">
        <f t="shared" si="21"/>
        <v>48</v>
      </c>
      <c r="AR36" t="str" cm="1">
        <f t="array" aca="1" ref="AR36" ca="1">INDIRECT("AN"&amp;AQ36)</f>
        <v>from_unit_unit = "ft^3"</v>
      </c>
      <c r="AW36" t="str">
        <f t="shared" si="26"/>
        <v>Case "cm4","cm^4"</v>
      </c>
      <c r="AY36">
        <f t="shared" si="22"/>
        <v>48</v>
      </c>
      <c r="AZ36" t="str" cm="1">
        <f t="array" aca="1" ref="AZ36" ca="1">INDIRECT("AW"&amp;AY36)</f>
        <v>from_unit_unit = "ft^2"</v>
      </c>
    </row>
    <row r="37" spans="22:52" x14ac:dyDescent="0.25">
      <c r="AJ37" t="str">
        <f t="shared" si="25"/>
        <v>Case "mm2","mm^2"</v>
      </c>
      <c r="AK37">
        <f t="shared" si="20"/>
        <v>40</v>
      </c>
      <c r="AL37" t="str" cm="1">
        <f t="array" aca="1" ref="AL37" ca="1">INDIRECT("AJ"&amp;AK37)</f>
        <v>Case "yd2","yd^2"</v>
      </c>
      <c r="AN37" t="str">
        <f t="shared" si="24"/>
        <v>Case "mm3","mm^3"</v>
      </c>
      <c r="AQ37">
        <f t="shared" si="21"/>
        <v>40</v>
      </c>
      <c r="AR37" t="str" cm="1">
        <f t="array" aca="1" ref="AR37" ca="1">INDIRECT("AN"&amp;AQ37)</f>
        <v>Case "yd3","yd^3"</v>
      </c>
      <c r="AW37" t="str">
        <f t="shared" si="26"/>
        <v>Case "mm4","mm^4"</v>
      </c>
      <c r="AY37">
        <f t="shared" si="22"/>
        <v>40</v>
      </c>
      <c r="AZ37" t="str" cm="1">
        <f t="array" aca="1" ref="AZ37" ca="1">INDIRECT("AW"&amp;AY37)</f>
        <v>Case "yd4","yd^4"</v>
      </c>
    </row>
    <row r="38" spans="22:52" x14ac:dyDescent="0.25">
      <c r="W38" t="str">
        <f>$T8</f>
        <v>"yd/s",</v>
      </c>
      <c r="AJ38" t="str">
        <f t="shared" si="25"/>
        <v>Case "in2","in^2"</v>
      </c>
      <c r="AK38">
        <f t="shared" si="20"/>
        <v>49</v>
      </c>
      <c r="AL38" t="str" cm="1">
        <f t="array" aca="1" ref="AL38" ca="1">INDIRECT("AJ"&amp;AK38)</f>
        <v>from_unit_unit = "yd^2"</v>
      </c>
      <c r="AN38" t="str">
        <f t="shared" si="24"/>
        <v>Case "in3","in^3"</v>
      </c>
      <c r="AQ38">
        <f t="shared" si="21"/>
        <v>49</v>
      </c>
      <c r="AR38" t="str" cm="1">
        <f t="array" aca="1" ref="AR38" ca="1">INDIRECT("AN"&amp;AQ38)</f>
        <v>from_unit_unit = "yd^3"</v>
      </c>
      <c r="AW38" t="str">
        <f t="shared" si="26"/>
        <v>Case "in4","in^4"</v>
      </c>
      <c r="AY38">
        <f t="shared" si="22"/>
        <v>49</v>
      </c>
      <c r="AZ38" t="str" cm="1">
        <f t="array" aca="1" ref="AZ38" ca="1">INDIRECT("AW"&amp;AY38)</f>
        <v>from_unit_unit = "yd^2"</v>
      </c>
    </row>
    <row r="39" spans="22:52" x14ac:dyDescent="0.25">
      <c r="W39" t="str">
        <f>$T16</f>
        <v>"yd/min",</v>
      </c>
      <c r="AJ39" t="str">
        <f t="shared" si="25"/>
        <v>Case "ft2","ft^2"</v>
      </c>
      <c r="AK39">
        <f t="shared" si="20"/>
        <v>41</v>
      </c>
      <c r="AL39" t="str" cm="1">
        <f t="array" aca="1" ref="AL39" ca="1">INDIRECT("AJ"&amp;AK39)</f>
        <v>Case "mi2","mi^2"</v>
      </c>
      <c r="AN39" t="str">
        <f t="shared" si="24"/>
        <v>Case "ft3","ft^3"</v>
      </c>
      <c r="AQ39">
        <f t="shared" si="21"/>
        <v>41</v>
      </c>
      <c r="AR39" t="str" cm="1">
        <f t="array" aca="1" ref="AR39" ca="1">INDIRECT("AN"&amp;AQ39)</f>
        <v>Case "mi3","mi^3"</v>
      </c>
      <c r="AW39" t="str">
        <f t="shared" si="26"/>
        <v>Case "ft4","ft^4"</v>
      </c>
      <c r="AY39">
        <f t="shared" si="22"/>
        <v>41</v>
      </c>
      <c r="AZ39" t="str" cm="1">
        <f t="array" aca="1" ref="AZ39" ca="1">INDIRECT("AW"&amp;AY39)</f>
        <v>Case "mi4","mi^4"</v>
      </c>
    </row>
    <row r="40" spans="22:52" x14ac:dyDescent="0.25">
      <c r="W40" t="str">
        <f>$T24</f>
        <v>"yd/hr",</v>
      </c>
      <c r="AJ40" t="str">
        <f t="shared" si="25"/>
        <v>Case "yd2","yd^2"</v>
      </c>
      <c r="AK40">
        <f t="shared" si="20"/>
        <v>50</v>
      </c>
      <c r="AL40" t="str" cm="1">
        <f t="array" aca="1" ref="AL40" ca="1">INDIRECT("AJ"&amp;AK40)</f>
        <v>from_unit_unit = "mi^2"</v>
      </c>
      <c r="AN40" t="str">
        <f t="shared" si="24"/>
        <v>Case "yd3","yd^3"</v>
      </c>
      <c r="AQ40">
        <f t="shared" si="21"/>
        <v>50</v>
      </c>
      <c r="AR40" t="str" cm="1">
        <f t="array" aca="1" ref="AR40" ca="1">INDIRECT("AN"&amp;AQ40)</f>
        <v>from_unit_unit = "mi^3"</v>
      </c>
      <c r="AW40" t="str">
        <f t="shared" si="26"/>
        <v>Case "yd4","yd^4"</v>
      </c>
      <c r="AY40">
        <f t="shared" si="22"/>
        <v>50</v>
      </c>
      <c r="AZ40" t="str" cm="1">
        <f t="array" aca="1" ref="AZ40" ca="1">INDIRECT("AW"&amp;AY40)</f>
        <v>from_unit_unit = "mi^2"</v>
      </c>
    </row>
    <row r="41" spans="22:52" x14ac:dyDescent="0.25">
      <c r="V41" t="s">
        <v>172</v>
      </c>
      <c r="W41" t="str">
        <f>"Case "&amp;LEFT(_xlfn.CONCAT(W38:W40),LEN(_xlfn.CONCAT(W38:W40))-1)</f>
        <v>Case "yd/s","yd/min","yd/hr"</v>
      </c>
      <c r="AJ41" t="str">
        <f>LEFT(_xlfn.CONCAT(AJ32),LEN(_xlfn.CONCAT(AJ32))-1)</f>
        <v>Case "mi2","mi^2"</v>
      </c>
      <c r="AN41" t="str">
        <f t="shared" si="24"/>
        <v>Case "mi3","mi^3"</v>
      </c>
      <c r="AW41" t="str">
        <f>LEFT(_xlfn.CONCAT(AW32),LEN(_xlfn.CONCAT(AW32))-1)</f>
        <v>Case "mi4","mi^4"</v>
      </c>
    </row>
    <row r="42" spans="22:52" x14ac:dyDescent="0.25">
      <c r="AK42">
        <v>34</v>
      </c>
      <c r="AL42" t="str" cm="1">
        <f t="array" aca="1" ref="AL42" ca="1">INDIRECT("AJ"&amp;AK42)</f>
        <v>Case "km2","km^2"</v>
      </c>
      <c r="AQ42">
        <v>34</v>
      </c>
      <c r="AR42" t="str" cm="1">
        <f t="array" aca="1" ref="AR42" ca="1">INDIRECT("AN"&amp;AQ42)</f>
        <v>Case "km3","km^3"</v>
      </c>
    </row>
    <row r="43" spans="22:52" x14ac:dyDescent="0.25">
      <c r="W43" t="str">
        <f>$T9</f>
        <v>"mi/s",</v>
      </c>
      <c r="AJ43" t="str">
        <f t="shared" ref="AJ43:AJ50" si="27">"from_unit_unit = """&amp;AJ10&amp;""""</f>
        <v>from_unit_unit = "km^2"</v>
      </c>
      <c r="AK43">
        <v>52</v>
      </c>
      <c r="AL43" t="str" cm="1">
        <f t="array" aca="1" ref="AL43" ca="1">INDIRECT("AJ"&amp;AK43)</f>
        <v>to_unit_unit = "km^2"</v>
      </c>
      <c r="AN43" t="str">
        <f>"from_unit_unit = """&amp;AM14&amp;""""</f>
        <v>from_unit_unit = "km^3"</v>
      </c>
      <c r="AQ43">
        <v>52</v>
      </c>
      <c r="AR43" t="str" cm="1">
        <f t="array" aca="1" ref="AR43" ca="1">INDIRECT("AN"&amp;AQ43)</f>
        <v>to_unit_unit = "km^3"</v>
      </c>
      <c r="AW43" t="str">
        <f>"from_unit_unit = """&amp;AS10&amp;""""</f>
        <v>from_unit_unit = "km^2"</v>
      </c>
      <c r="AY43">
        <v>34</v>
      </c>
      <c r="AZ43" t="str" cm="1">
        <f t="array" aca="1" ref="AZ43" ca="1">INDIRECT("AW"&amp;AY43)</f>
        <v>Case "km4","km^4"</v>
      </c>
    </row>
    <row r="44" spans="22:52" x14ac:dyDescent="0.25">
      <c r="W44" t="str">
        <f>$T17</f>
        <v>"mi/min",</v>
      </c>
      <c r="AJ44" t="str">
        <f t="shared" si="27"/>
        <v>from_unit_unit = "m^2"</v>
      </c>
      <c r="AK44">
        <f t="shared" ref="AK44:AK57" si="28">AK42+1</f>
        <v>35</v>
      </c>
      <c r="AL44" t="str" cm="1">
        <f t="array" aca="1" ref="AL44" ca="1">INDIRECT("AJ"&amp;AK44)</f>
        <v>Case "m2","m^2"</v>
      </c>
      <c r="AN44" t="str">
        <f t="shared" ref="AN44:AN50" si="29">"from_unit_unit = """&amp;AM15&amp;""""</f>
        <v>from_unit_unit = "m^3"</v>
      </c>
      <c r="AQ44">
        <f t="shared" ref="AQ44:AQ57" si="30">AQ42+1</f>
        <v>35</v>
      </c>
      <c r="AR44" t="str" cm="1">
        <f t="array" aca="1" ref="AR44" ca="1">INDIRECT("AN"&amp;AQ44)</f>
        <v>Case "m3","m^3"</v>
      </c>
      <c r="AW44" t="str">
        <f t="shared" ref="AW44:AW47" si="31">"from_unit_unit = """&amp;AS11&amp;""""</f>
        <v>from_unit_unit = "m^2"</v>
      </c>
      <c r="AY44">
        <v>52</v>
      </c>
      <c r="AZ44" t="str" cm="1">
        <f t="array" aca="1" ref="AZ44" ca="1">INDIRECT("AW"&amp;AY44)</f>
        <v>to_unit_unit = "km^2"</v>
      </c>
    </row>
    <row r="45" spans="22:52" x14ac:dyDescent="0.25">
      <c r="W45" t="str">
        <f>$T25</f>
        <v>"mi/hr",</v>
      </c>
      <c r="AJ45" t="str">
        <f t="shared" si="27"/>
        <v>from_unit_unit = "cm^2"</v>
      </c>
      <c r="AK45">
        <f t="shared" si="28"/>
        <v>53</v>
      </c>
      <c r="AL45" t="str" cm="1">
        <f t="array" aca="1" ref="AL45" ca="1">INDIRECT("AJ"&amp;AK45)</f>
        <v>to_unit_unit = "m^2"</v>
      </c>
      <c r="AN45" t="str">
        <f t="shared" si="29"/>
        <v>from_unit_unit = "cm^3"</v>
      </c>
      <c r="AQ45">
        <f t="shared" si="30"/>
        <v>53</v>
      </c>
      <c r="AR45" t="str" cm="1">
        <f t="array" aca="1" ref="AR45" ca="1">INDIRECT("AN"&amp;AQ45)</f>
        <v>to_unit_unit = "m^3"</v>
      </c>
      <c r="AW45" t="str">
        <f t="shared" si="31"/>
        <v>from_unit_unit = "cm^2"</v>
      </c>
      <c r="AY45">
        <f t="shared" ref="AY45:AY58" si="32">AY43+1</f>
        <v>35</v>
      </c>
      <c r="AZ45" t="str" cm="1">
        <f t="array" aca="1" ref="AZ45" ca="1">INDIRECT("AW"&amp;AY45)</f>
        <v>Case "m4","m^4"</v>
      </c>
    </row>
    <row r="46" spans="22:52" x14ac:dyDescent="0.25">
      <c r="W46" t="str">
        <f>$T26</f>
        <v>"mph",</v>
      </c>
      <c r="AJ46" t="str">
        <f t="shared" si="27"/>
        <v>from_unit_unit = "mm^2"</v>
      </c>
      <c r="AK46">
        <f t="shared" si="28"/>
        <v>36</v>
      </c>
      <c r="AL46" t="str" cm="1">
        <f t="array" aca="1" ref="AL46" ca="1">INDIRECT("AJ"&amp;AK46)</f>
        <v>Case "cm2","cm^2"</v>
      </c>
      <c r="AN46" t="str">
        <f t="shared" si="29"/>
        <v>from_unit_unit = "mm^3"</v>
      </c>
      <c r="AQ46">
        <f t="shared" si="30"/>
        <v>36</v>
      </c>
      <c r="AR46" t="str" cm="1">
        <f t="array" aca="1" ref="AR46" ca="1">INDIRECT("AN"&amp;AQ46)</f>
        <v>Case "cm3","cm^3"</v>
      </c>
      <c r="AW46" t="str">
        <f t="shared" si="31"/>
        <v>from_unit_unit = "mm^2"</v>
      </c>
      <c r="AY46">
        <f t="shared" si="32"/>
        <v>53</v>
      </c>
      <c r="AZ46" t="str" cm="1">
        <f t="array" aca="1" ref="AZ46" ca="1">INDIRECT("AW"&amp;AY46)</f>
        <v>to_unit_unit = "m^2"</v>
      </c>
    </row>
    <row r="47" spans="22:52" x14ac:dyDescent="0.25">
      <c r="V47" t="s">
        <v>173</v>
      </c>
      <c r="W47" t="str">
        <f>"Case "&amp;LEFT(_xlfn.CONCAT(W43:W46),LEN(_xlfn.CONCAT(W43:W46))-1)</f>
        <v>Case "mi/s","mi/min","mi/hr","mph"</v>
      </c>
      <c r="AJ47" t="str">
        <f t="shared" si="27"/>
        <v>from_unit_unit = "in^2"</v>
      </c>
      <c r="AK47">
        <f t="shared" si="28"/>
        <v>54</v>
      </c>
      <c r="AL47" t="str" cm="1">
        <f t="array" aca="1" ref="AL47" ca="1">INDIRECT("AJ"&amp;AK47)</f>
        <v>to_unit_unit = "cm^2"</v>
      </c>
      <c r="AN47" t="str">
        <f t="shared" si="29"/>
        <v>from_unit_unit = "in^3"</v>
      </c>
      <c r="AQ47">
        <f t="shared" si="30"/>
        <v>54</v>
      </c>
      <c r="AR47" t="str" cm="1">
        <f t="array" aca="1" ref="AR47" ca="1">INDIRECT("AN"&amp;AQ47)</f>
        <v>to_unit_unit = "cm^3"</v>
      </c>
      <c r="AW47" t="str">
        <f t="shared" si="31"/>
        <v>from_unit_unit = "in^2"</v>
      </c>
      <c r="AY47">
        <f t="shared" si="32"/>
        <v>36</v>
      </c>
      <c r="AZ47" t="str" cm="1">
        <f t="array" aca="1" ref="AZ47" ca="1">INDIRECT("AW"&amp;AY47)</f>
        <v>Case "cm4","cm^4"</v>
      </c>
    </row>
    <row r="48" spans="22:52" x14ac:dyDescent="0.25">
      <c r="AJ48" t="str">
        <f t="shared" si="27"/>
        <v>from_unit_unit = "ft^2"</v>
      </c>
      <c r="AK48">
        <f t="shared" si="28"/>
        <v>37</v>
      </c>
      <c r="AL48" t="str" cm="1">
        <f t="array" aca="1" ref="AL48" ca="1">INDIRECT("AJ"&amp;AK48)</f>
        <v>Case "mm2","mm^2"</v>
      </c>
      <c r="AN48" t="str">
        <f t="shared" si="29"/>
        <v>from_unit_unit = "ft^3"</v>
      </c>
      <c r="AQ48">
        <f t="shared" si="30"/>
        <v>37</v>
      </c>
      <c r="AR48" t="str" cm="1">
        <f t="array" aca="1" ref="AR48" ca="1">INDIRECT("AN"&amp;AQ48)</f>
        <v>Case "mm3","mm^3"</v>
      </c>
      <c r="AW48" t="str">
        <f>"from_unit_unit = """&amp;AS15&amp;""""</f>
        <v>from_unit_unit = "ft^2"</v>
      </c>
      <c r="AY48">
        <f t="shared" si="32"/>
        <v>54</v>
      </c>
      <c r="AZ48" t="str" cm="1">
        <f t="array" aca="1" ref="AZ48" ca="1">INDIRECT("AW"&amp;AY48)</f>
        <v>to_unit_unit = "cm^2"</v>
      </c>
    </row>
    <row r="49" spans="36:52" x14ac:dyDescent="0.25">
      <c r="AJ49" t="str">
        <f t="shared" si="27"/>
        <v>from_unit_unit = "yd^2"</v>
      </c>
      <c r="AK49">
        <f t="shared" si="28"/>
        <v>55</v>
      </c>
      <c r="AL49" t="str" cm="1">
        <f t="array" aca="1" ref="AL49" ca="1">INDIRECT("AJ"&amp;AK49)</f>
        <v>to_unit_unit = "mm^2"</v>
      </c>
      <c r="AN49" t="str">
        <f t="shared" si="29"/>
        <v>from_unit_unit = "yd^3"</v>
      </c>
      <c r="AQ49">
        <f t="shared" si="30"/>
        <v>55</v>
      </c>
      <c r="AR49" t="str" cm="1">
        <f t="array" aca="1" ref="AR49" ca="1">INDIRECT("AN"&amp;AQ49)</f>
        <v>to_unit_unit = "mm^3"</v>
      </c>
      <c r="AW49" t="str">
        <f>"from_unit_unit = """&amp;AS16&amp;""""</f>
        <v>from_unit_unit = "yd^2"</v>
      </c>
      <c r="AY49">
        <f t="shared" si="32"/>
        <v>37</v>
      </c>
      <c r="AZ49" t="str" cm="1">
        <f t="array" aca="1" ref="AZ49" ca="1">INDIRECT("AW"&amp;AY49)</f>
        <v>Case "mm4","mm^4"</v>
      </c>
    </row>
    <row r="50" spans="36:52" x14ac:dyDescent="0.25">
      <c r="AJ50" t="str">
        <f t="shared" si="27"/>
        <v>from_unit_unit = "mi^2"</v>
      </c>
      <c r="AK50">
        <f t="shared" si="28"/>
        <v>38</v>
      </c>
      <c r="AL50" t="str" cm="1">
        <f t="array" aca="1" ref="AL50" ca="1">INDIRECT("AJ"&amp;AK50)</f>
        <v>Case "in2","in^2"</v>
      </c>
      <c r="AN50" t="str">
        <f t="shared" si="29"/>
        <v>from_unit_unit = "mi^3"</v>
      </c>
      <c r="AQ50">
        <f t="shared" si="30"/>
        <v>38</v>
      </c>
      <c r="AR50" t="str" cm="1">
        <f t="array" aca="1" ref="AR50" ca="1">INDIRECT("AN"&amp;AQ50)</f>
        <v>Case "in3","in^3"</v>
      </c>
      <c r="AW50" t="str">
        <f>"from_unit_unit = """&amp;AS17&amp;""""</f>
        <v>from_unit_unit = "mi^2"</v>
      </c>
      <c r="AY50">
        <f t="shared" si="32"/>
        <v>55</v>
      </c>
      <c r="AZ50" t="str" cm="1">
        <f t="array" aca="1" ref="AZ50" ca="1">INDIRECT("AW"&amp;AY50)</f>
        <v>to_unit_unit = "mm^2"</v>
      </c>
    </row>
    <row r="51" spans="36:52" x14ac:dyDescent="0.25">
      <c r="AK51">
        <f t="shared" si="28"/>
        <v>56</v>
      </c>
      <c r="AL51" t="str" cm="1">
        <f t="array" aca="1" ref="AL51" ca="1">INDIRECT("AJ"&amp;AK51)</f>
        <v>to_unit_unit = "in^2"</v>
      </c>
      <c r="AQ51">
        <f t="shared" si="30"/>
        <v>56</v>
      </c>
      <c r="AR51" t="str" cm="1">
        <f t="array" aca="1" ref="AR51" ca="1">INDIRECT("AN"&amp;AQ51)</f>
        <v>to_unit_unit = "in^3"</v>
      </c>
      <c r="AY51">
        <f t="shared" si="32"/>
        <v>38</v>
      </c>
      <c r="AZ51" t="str" cm="1">
        <f t="array" aca="1" ref="AZ51" ca="1">INDIRECT("AW"&amp;AY51)</f>
        <v>Case "in4","in^4"</v>
      </c>
    </row>
    <row r="52" spans="36:52" x14ac:dyDescent="0.25">
      <c r="AJ52" t="str">
        <f>"to_unit_unit = """&amp;AJ10&amp;""""</f>
        <v>to_unit_unit = "km^2"</v>
      </c>
      <c r="AK52">
        <f t="shared" si="28"/>
        <v>39</v>
      </c>
      <c r="AL52" t="str" cm="1">
        <f t="array" aca="1" ref="AL52" ca="1">INDIRECT("AJ"&amp;AK52)</f>
        <v>Case "ft2","ft^2"</v>
      </c>
      <c r="AN52" t="str">
        <f t="shared" ref="AN52:AN59" si="33">"to_unit_unit = """&amp;AM14&amp;""""</f>
        <v>to_unit_unit = "km^3"</v>
      </c>
      <c r="AQ52">
        <f t="shared" si="30"/>
        <v>39</v>
      </c>
      <c r="AR52" t="str" cm="1">
        <f t="array" aca="1" ref="AR52" ca="1">INDIRECT("AN"&amp;AQ52)</f>
        <v>Case "ft3","ft^3"</v>
      </c>
      <c r="AW52" t="str">
        <f>"to_unit_unit = """&amp;AS10&amp;""""</f>
        <v>to_unit_unit = "km^2"</v>
      </c>
      <c r="AY52">
        <f t="shared" si="32"/>
        <v>56</v>
      </c>
      <c r="AZ52" t="str" cm="1">
        <f t="array" aca="1" ref="AZ52" ca="1">INDIRECT("AW"&amp;AY52)</f>
        <v>to_unit_unit = "in^2"</v>
      </c>
    </row>
    <row r="53" spans="36:52" x14ac:dyDescent="0.25">
      <c r="AJ53" t="str">
        <f t="shared" ref="AJ53:AJ59" si="34">"to_unit_unit = """&amp;AJ11&amp;""""</f>
        <v>to_unit_unit = "m^2"</v>
      </c>
      <c r="AK53">
        <f t="shared" si="28"/>
        <v>57</v>
      </c>
      <c r="AL53" t="str" cm="1">
        <f t="array" aca="1" ref="AL53" ca="1">INDIRECT("AJ"&amp;AK53)</f>
        <v>to_unit_unit = "ft^2"</v>
      </c>
      <c r="AN53" t="str">
        <f t="shared" si="33"/>
        <v>to_unit_unit = "m^3"</v>
      </c>
      <c r="AQ53">
        <f t="shared" si="30"/>
        <v>57</v>
      </c>
      <c r="AR53" t="str" cm="1">
        <f t="array" aca="1" ref="AR53" ca="1">INDIRECT("AN"&amp;AQ53)</f>
        <v>to_unit_unit = "ft^3"</v>
      </c>
      <c r="AW53" t="str">
        <f t="shared" ref="AW53:AW59" si="35">"to_unit_unit = """&amp;AS11&amp;""""</f>
        <v>to_unit_unit = "m^2"</v>
      </c>
      <c r="AY53">
        <f t="shared" si="32"/>
        <v>39</v>
      </c>
      <c r="AZ53" t="str" cm="1">
        <f t="array" aca="1" ref="AZ53" ca="1">INDIRECT("AW"&amp;AY53)</f>
        <v>Case "ft4","ft^4"</v>
      </c>
    </row>
    <row r="54" spans="36:52" x14ac:dyDescent="0.25">
      <c r="AJ54" t="str">
        <f t="shared" si="34"/>
        <v>to_unit_unit = "cm^2"</v>
      </c>
      <c r="AK54">
        <f t="shared" si="28"/>
        <v>40</v>
      </c>
      <c r="AL54" t="str" cm="1">
        <f t="array" aca="1" ref="AL54" ca="1">INDIRECT("AJ"&amp;AK54)</f>
        <v>Case "yd2","yd^2"</v>
      </c>
      <c r="AN54" t="str">
        <f t="shared" si="33"/>
        <v>to_unit_unit = "cm^3"</v>
      </c>
      <c r="AQ54">
        <f t="shared" si="30"/>
        <v>40</v>
      </c>
      <c r="AR54" t="str" cm="1">
        <f t="array" aca="1" ref="AR54" ca="1">INDIRECT("AN"&amp;AQ54)</f>
        <v>Case "yd3","yd^3"</v>
      </c>
      <c r="AW54" t="str">
        <f t="shared" si="35"/>
        <v>to_unit_unit = "cm^2"</v>
      </c>
      <c r="AY54">
        <f t="shared" si="32"/>
        <v>57</v>
      </c>
      <c r="AZ54" t="str" cm="1">
        <f t="array" aca="1" ref="AZ54" ca="1">INDIRECT("AW"&amp;AY54)</f>
        <v>to_unit_unit = "ft^2"</v>
      </c>
    </row>
    <row r="55" spans="36:52" x14ac:dyDescent="0.25">
      <c r="AJ55" t="str">
        <f t="shared" si="34"/>
        <v>to_unit_unit = "mm^2"</v>
      </c>
      <c r="AK55">
        <f t="shared" si="28"/>
        <v>58</v>
      </c>
      <c r="AL55" t="str" cm="1">
        <f t="array" aca="1" ref="AL55" ca="1">INDIRECT("AJ"&amp;AK55)</f>
        <v>to_unit_unit = "yd^2"</v>
      </c>
      <c r="AN55" t="str">
        <f t="shared" si="33"/>
        <v>to_unit_unit = "mm^3"</v>
      </c>
      <c r="AQ55">
        <f t="shared" si="30"/>
        <v>58</v>
      </c>
      <c r="AR55" t="str" cm="1">
        <f t="array" aca="1" ref="AR55" ca="1">INDIRECT("AN"&amp;AQ55)</f>
        <v>to_unit_unit = "yd^3"</v>
      </c>
      <c r="AW55" t="str">
        <f t="shared" si="35"/>
        <v>to_unit_unit = "mm^2"</v>
      </c>
      <c r="AY55">
        <f t="shared" si="32"/>
        <v>40</v>
      </c>
      <c r="AZ55" t="str" cm="1">
        <f t="array" aca="1" ref="AZ55" ca="1">INDIRECT("AW"&amp;AY55)</f>
        <v>Case "yd4","yd^4"</v>
      </c>
    </row>
    <row r="56" spans="36:52" x14ac:dyDescent="0.25">
      <c r="AJ56" t="str">
        <f t="shared" si="34"/>
        <v>to_unit_unit = "in^2"</v>
      </c>
      <c r="AK56">
        <f t="shared" si="28"/>
        <v>41</v>
      </c>
      <c r="AL56" t="str" cm="1">
        <f t="array" aca="1" ref="AL56" ca="1">INDIRECT("AJ"&amp;AK56)</f>
        <v>Case "mi2","mi^2"</v>
      </c>
      <c r="AN56" t="str">
        <f t="shared" si="33"/>
        <v>to_unit_unit = "in^3"</v>
      </c>
      <c r="AQ56">
        <f t="shared" si="30"/>
        <v>41</v>
      </c>
      <c r="AR56" t="str" cm="1">
        <f t="array" aca="1" ref="AR56" ca="1">INDIRECT("AN"&amp;AQ56)</f>
        <v>Case "mi3","mi^3"</v>
      </c>
      <c r="AW56" t="str">
        <f t="shared" si="35"/>
        <v>to_unit_unit = "in^2"</v>
      </c>
      <c r="AY56">
        <f t="shared" si="32"/>
        <v>58</v>
      </c>
      <c r="AZ56" t="str" cm="1">
        <f t="array" aca="1" ref="AZ56" ca="1">INDIRECT("AW"&amp;AY56)</f>
        <v>to_unit_unit = "yd^2"</v>
      </c>
    </row>
    <row r="57" spans="36:52" x14ac:dyDescent="0.25">
      <c r="AJ57" t="str">
        <f t="shared" si="34"/>
        <v>to_unit_unit = "ft^2"</v>
      </c>
      <c r="AK57">
        <f t="shared" si="28"/>
        <v>59</v>
      </c>
      <c r="AL57" t="str" cm="1">
        <f t="array" aca="1" ref="AL57" ca="1">INDIRECT("AJ"&amp;AK57)</f>
        <v>to_unit_unit = "mi^2"</v>
      </c>
      <c r="AN57" t="str">
        <f t="shared" si="33"/>
        <v>to_unit_unit = "ft^3"</v>
      </c>
      <c r="AQ57">
        <f t="shared" si="30"/>
        <v>59</v>
      </c>
      <c r="AR57" t="str" cm="1">
        <f t="array" aca="1" ref="AR57" ca="1">INDIRECT("AN"&amp;AQ57)</f>
        <v>to_unit_unit = "mi^3"</v>
      </c>
      <c r="AW57" t="str">
        <f t="shared" si="35"/>
        <v>to_unit_unit = "ft^2"</v>
      </c>
      <c r="AY57">
        <f t="shared" si="32"/>
        <v>41</v>
      </c>
      <c r="AZ57" t="str" cm="1">
        <f t="array" aca="1" ref="AZ57" ca="1">INDIRECT("AW"&amp;AY57)</f>
        <v>Case "mi4","mi^4"</v>
      </c>
    </row>
    <row r="58" spans="36:52" x14ac:dyDescent="0.25">
      <c r="AJ58" t="str">
        <f t="shared" si="34"/>
        <v>to_unit_unit = "yd^2"</v>
      </c>
      <c r="AN58" t="str">
        <f t="shared" si="33"/>
        <v>to_unit_unit = "yd^3"</v>
      </c>
      <c r="AW58" t="str">
        <f t="shared" si="35"/>
        <v>to_unit_unit = "yd^2"</v>
      </c>
      <c r="AY58">
        <f t="shared" si="32"/>
        <v>59</v>
      </c>
      <c r="AZ58" t="str" cm="1">
        <f t="array" aca="1" ref="AZ58" ca="1">INDIRECT("AW"&amp;AY58)</f>
        <v>to_unit_unit = "mi^2"</v>
      </c>
    </row>
    <row r="59" spans="36:52" x14ac:dyDescent="0.25">
      <c r="AJ59" t="str">
        <f t="shared" si="34"/>
        <v>to_unit_unit = "mi^2"</v>
      </c>
      <c r="AN59" t="str">
        <f t="shared" si="33"/>
        <v>to_unit_unit = "mi^3"</v>
      </c>
      <c r="AW59" t="str">
        <f t="shared" si="35"/>
        <v>to_unit_unit = "mi^2"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834FA-8531-45BD-A585-D4F48305A3EE}">
  <sheetPr codeName="Sheet3"/>
  <dimension ref="A1:E12"/>
  <sheetViews>
    <sheetView workbookViewId="0">
      <selection activeCell="B56" sqref="B56"/>
    </sheetView>
  </sheetViews>
  <sheetFormatPr defaultRowHeight="15" x14ac:dyDescent="0.25"/>
  <cols>
    <col min="1" max="1" width="32" bestFit="1" customWidth="1"/>
    <col min="7" max="7" width="42.85546875" bestFit="1" customWidth="1"/>
    <col min="11" max="11" width="20.7109375" bestFit="1" customWidth="1"/>
    <col min="12" max="12" width="12.28515625" bestFit="1" customWidth="1"/>
    <col min="14" max="14" width="31.5703125" bestFit="1" customWidth="1"/>
  </cols>
  <sheetData>
    <row r="1" spans="1:5" x14ac:dyDescent="0.25">
      <c r="A1" t="s">
        <v>280</v>
      </c>
    </row>
    <row r="2" spans="1:5" x14ac:dyDescent="0.25">
      <c r="A2" t="s">
        <v>215</v>
      </c>
      <c r="B2">
        <v>5.0000000000000001E-3</v>
      </c>
      <c r="C2" t="s">
        <v>101</v>
      </c>
      <c r="D2" s="4" cm="1">
        <f t="array" ref="D2">fluidConvert(B2,C2,E2)</f>
        <v>1.27E-4</v>
      </c>
      <c r="E2" t="s">
        <v>97</v>
      </c>
    </row>
    <row r="3" spans="1:5" x14ac:dyDescent="0.25">
      <c r="A3" t="s">
        <v>216</v>
      </c>
      <c r="B3">
        <v>0.6</v>
      </c>
      <c r="C3" t="s">
        <v>220</v>
      </c>
    </row>
    <row r="4" spans="1:5" x14ac:dyDescent="0.25">
      <c r="A4" t="s">
        <v>214</v>
      </c>
      <c r="B4" t="s">
        <v>210</v>
      </c>
      <c r="C4" t="s">
        <v>45</v>
      </c>
    </row>
    <row r="5" spans="1:5" x14ac:dyDescent="0.25">
      <c r="A5" t="s">
        <v>211</v>
      </c>
      <c r="B5">
        <v>100</v>
      </c>
      <c r="C5" t="s">
        <v>95</v>
      </c>
      <c r="D5" s="2" cm="1">
        <f t="array" ref="D5">fluidConvert(B5,C5,E5)</f>
        <v>689475.72931683622</v>
      </c>
      <c r="E5" t="s">
        <v>3</v>
      </c>
    </row>
    <row r="6" spans="1:5" x14ac:dyDescent="0.25">
      <c r="A6" t="s">
        <v>212</v>
      </c>
      <c r="B6">
        <v>14.7</v>
      </c>
      <c r="C6" t="s">
        <v>95</v>
      </c>
      <c r="D6" s="2" cm="1">
        <f t="array" ref="D6">fluidConvert(B6,C6,E6)</f>
        <v>101352.93220957491</v>
      </c>
      <c r="E6" t="s">
        <v>3</v>
      </c>
    </row>
    <row r="7" spans="1:5" x14ac:dyDescent="0.25">
      <c r="A7" t="s">
        <v>213</v>
      </c>
      <c r="B7">
        <v>70</v>
      </c>
      <c r="C7" t="s">
        <v>62</v>
      </c>
      <c r="D7" s="2" cm="1">
        <f t="array" ref="D7">fluidConvert(B7,C7,E7)</f>
        <v>294.26111111111106</v>
      </c>
      <c r="E7" t="s">
        <v>2</v>
      </c>
    </row>
    <row r="8" spans="1:5" x14ac:dyDescent="0.25">
      <c r="A8" t="s">
        <v>217</v>
      </c>
      <c r="B8" cm="1">
        <f t="array" ref="B8">fluidCircleArea(B2)</f>
        <v>1.9634954084936207E-5</v>
      </c>
      <c r="C8" t="s">
        <v>218</v>
      </c>
      <c r="D8" s="4" cm="1">
        <f t="array" ref="D8">fluidConvert(B8,C8,E8)</f>
        <v>1.2667686977437444E-8</v>
      </c>
      <c r="E8" t="s">
        <v>219</v>
      </c>
    </row>
    <row r="9" spans="1:5" x14ac:dyDescent="0.25">
      <c r="A9" t="s">
        <v>63</v>
      </c>
      <c r="B9" s="5" cm="1">
        <f t="array" ref="B9">fluidConvert(D9,E9,C9)</f>
        <v>1.2399358557237988E-2</v>
      </c>
      <c r="C9" t="s">
        <v>37</v>
      </c>
      <c r="D9" s="5" cm="1">
        <f t="array" ref="D9">fluidCdA(B3,D8,D5,D6,D7,B4)</f>
        <v>1.2399358557237987E-5</v>
      </c>
      <c r="E9" t="s">
        <v>35</v>
      </c>
    </row>
    <row r="10" spans="1:5" x14ac:dyDescent="0.25">
      <c r="A10" t="s">
        <v>87</v>
      </c>
      <c r="B10" s="3" cm="1">
        <f t="array" ref="B10">fluidConvert(D10,E10,C10)</f>
        <v>0.61620387684638067</v>
      </c>
      <c r="C10" t="s">
        <v>58</v>
      </c>
      <c r="D10" s="1" cm="1">
        <f t="array" ref="D10">fluidConvert(D9,E9,E10,B4,"ISO 2533",D5,D7)</f>
        <v>10.097732929881641</v>
      </c>
      <c r="E10" t="s">
        <v>52</v>
      </c>
    </row>
    <row r="11" spans="1:5" x14ac:dyDescent="0.25">
      <c r="A11" t="s">
        <v>222</v>
      </c>
      <c r="D11" t="str" cm="1">
        <f t="array" ref="D11">fluidCdA(B3,D8,D5,D6,D7,B4,A11)</f>
        <v>Choked</v>
      </c>
      <c r="E11" t="s">
        <v>45</v>
      </c>
    </row>
    <row r="12" spans="1:5" x14ac:dyDescent="0.25">
      <c r="A12" t="s">
        <v>221</v>
      </c>
      <c r="B12" s="3" cm="1">
        <f t="array" ref="B12">fluidConvert(D12,E12,C12)</f>
        <v>392.48773724579797</v>
      </c>
      <c r="C12" t="s">
        <v>137</v>
      </c>
      <c r="D12" s="2" cm="1">
        <f t="array" ref="D12">fluidCdA(B3,D8,D5,D6,D7,B4,A12)</f>
        <v>119.63026231251922</v>
      </c>
      <c r="E12" t="s">
        <v>133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BD087-B591-40F2-9174-E6648CC4FFD2}">
  <sheetPr codeName="Sheet6"/>
  <dimension ref="A1:U109"/>
  <sheetViews>
    <sheetView workbookViewId="0">
      <selection activeCell="H5" sqref="H5"/>
    </sheetView>
  </sheetViews>
  <sheetFormatPr defaultRowHeight="15" x14ac:dyDescent="0.25"/>
  <cols>
    <col min="1" max="1" width="31.42578125" bestFit="1" customWidth="1"/>
    <col min="2" max="2" width="24.85546875" bestFit="1" customWidth="1"/>
    <col min="3" max="3" width="10.42578125" bestFit="1" customWidth="1"/>
    <col min="4" max="4" width="14.85546875" bestFit="1" customWidth="1"/>
    <col min="5" max="5" width="11.7109375" bestFit="1" customWidth="1"/>
    <col min="7" max="7" width="10.28515625" bestFit="1" customWidth="1"/>
    <col min="8" max="8" width="19.28515625" bestFit="1" customWidth="1"/>
    <col min="9" max="9" width="19" bestFit="1" customWidth="1"/>
    <col min="10" max="10" width="25.5703125" bestFit="1" customWidth="1"/>
    <col min="11" max="11" width="18.5703125" bestFit="1" customWidth="1"/>
    <col min="12" max="12" width="18.28515625" bestFit="1" customWidth="1"/>
    <col min="13" max="13" width="23.7109375" bestFit="1" customWidth="1"/>
    <col min="14" max="14" width="24.42578125" bestFit="1" customWidth="1"/>
    <col min="15" max="15" width="19.7109375" bestFit="1" customWidth="1"/>
    <col min="16" max="16" width="19.140625" bestFit="1" customWidth="1"/>
    <col min="17" max="17" width="19.42578125" bestFit="1" customWidth="1"/>
    <col min="18" max="18" width="18.28515625" bestFit="1" customWidth="1"/>
    <col min="19" max="19" width="18.5703125" bestFit="1" customWidth="1"/>
    <col min="20" max="20" width="23.7109375" bestFit="1" customWidth="1"/>
    <col min="21" max="21" width="19" bestFit="1" customWidth="1"/>
  </cols>
  <sheetData>
    <row r="1" spans="1:21" x14ac:dyDescent="0.25">
      <c r="A1" t="s">
        <v>319</v>
      </c>
      <c r="B1" t="s">
        <v>320</v>
      </c>
      <c r="C1" t="s">
        <v>321</v>
      </c>
      <c r="D1" t="s">
        <v>322</v>
      </c>
      <c r="E1" t="s">
        <v>323</v>
      </c>
      <c r="F1" t="s">
        <v>324</v>
      </c>
      <c r="G1" t="s">
        <v>325</v>
      </c>
      <c r="H1" t="s">
        <v>326</v>
      </c>
      <c r="I1" t="s">
        <v>327</v>
      </c>
      <c r="J1" t="s">
        <v>328</v>
      </c>
      <c r="K1" t="s">
        <v>329</v>
      </c>
      <c r="L1" t="s">
        <v>330</v>
      </c>
      <c r="M1" t="s">
        <v>331</v>
      </c>
      <c r="N1" t="s">
        <v>332</v>
      </c>
      <c r="O1" t="s">
        <v>333</v>
      </c>
      <c r="P1" t="s">
        <v>334</v>
      </c>
      <c r="Q1" t="s">
        <v>335</v>
      </c>
      <c r="R1" t="s">
        <v>330</v>
      </c>
      <c r="S1" t="s">
        <v>329</v>
      </c>
      <c r="T1" t="s">
        <v>331</v>
      </c>
      <c r="U1" t="s">
        <v>327</v>
      </c>
    </row>
    <row r="2" spans="1:21" x14ac:dyDescent="0.25">
      <c r="A2" t="str">
        <f>_xlfn.CONCAT(B2," ",C2," ",D2," ",E2," CLASS ",LEFT(F2,1))</f>
        <v>0–80 or 0.060–80 UNF CLASS 2</v>
      </c>
      <c r="B2" t="s">
        <v>336</v>
      </c>
      <c r="C2" t="s">
        <v>337</v>
      </c>
      <c r="D2" t="s">
        <v>338</v>
      </c>
      <c r="E2" t="s">
        <v>339</v>
      </c>
      <c r="F2" t="s">
        <v>340</v>
      </c>
      <c r="G2">
        <v>5.0000000000000001E-4</v>
      </c>
      <c r="H2">
        <v>5.9499999999999997E-2</v>
      </c>
      <c r="I2">
        <v>5.6300000000000003E-2</v>
      </c>
      <c r="J2">
        <v>0</v>
      </c>
      <c r="K2">
        <v>5.1400000000000001E-2</v>
      </c>
      <c r="L2">
        <v>4.9599999999999998E-2</v>
      </c>
      <c r="M2">
        <v>1.7619999999999999E-3</v>
      </c>
      <c r="N2">
        <v>4.4600000000000001E-2</v>
      </c>
      <c r="O2" t="s">
        <v>341</v>
      </c>
      <c r="P2">
        <v>4.65E-2</v>
      </c>
      <c r="Q2">
        <v>5.1400000000000001E-2</v>
      </c>
      <c r="R2">
        <v>5.1900000000000002E-2</v>
      </c>
      <c r="S2">
        <v>5.4199999999999998E-2</v>
      </c>
      <c r="T2">
        <v>2.3E-3</v>
      </c>
      <c r="U2">
        <v>0.06</v>
      </c>
    </row>
    <row r="3" spans="1:21" x14ac:dyDescent="0.25">
      <c r="A3" t="str">
        <f t="shared" ref="A3:A66" si="0">_xlfn.CONCAT(B3," ",C3," ",D3," ",E3," CLASS ",LEFT(F3,1))</f>
        <v>0–80 or 0.060–80 UNF CLASS 3</v>
      </c>
      <c r="B3" t="s">
        <v>336</v>
      </c>
      <c r="C3" t="s">
        <v>337</v>
      </c>
      <c r="D3" t="s">
        <v>338</v>
      </c>
      <c r="E3" t="s">
        <v>339</v>
      </c>
      <c r="F3" t="s">
        <v>342</v>
      </c>
      <c r="G3">
        <v>0</v>
      </c>
      <c r="H3">
        <v>0.06</v>
      </c>
      <c r="I3">
        <v>5.6800000000000003E-2</v>
      </c>
      <c r="J3">
        <v>0</v>
      </c>
      <c r="K3">
        <v>5.1900000000000002E-2</v>
      </c>
      <c r="L3">
        <v>5.0599999999999999E-2</v>
      </c>
      <c r="M3">
        <v>1.2999999999999999E-3</v>
      </c>
      <c r="N3">
        <v>4.5100000000000001E-2</v>
      </c>
      <c r="O3" t="s">
        <v>343</v>
      </c>
      <c r="P3">
        <v>4.65E-2</v>
      </c>
      <c r="Q3">
        <v>5.1400000000000001E-2</v>
      </c>
      <c r="R3">
        <v>5.1900000000000002E-2</v>
      </c>
      <c r="S3">
        <v>5.3600000000000002E-2</v>
      </c>
      <c r="T3">
        <v>1.6999999999999999E-3</v>
      </c>
      <c r="U3">
        <v>0.06</v>
      </c>
    </row>
    <row r="4" spans="1:21" x14ac:dyDescent="0.25">
      <c r="A4" t="str">
        <f t="shared" si="0"/>
        <v>1–64 or 0.073–64 UNC CLASS 2</v>
      </c>
      <c r="B4" t="s">
        <v>344</v>
      </c>
      <c r="C4" t="s">
        <v>337</v>
      </c>
      <c r="D4" t="s">
        <v>345</v>
      </c>
      <c r="E4" t="s">
        <v>346</v>
      </c>
      <c r="F4" t="s">
        <v>340</v>
      </c>
      <c r="G4">
        <v>5.9999999999999995E-4</v>
      </c>
      <c r="H4">
        <v>7.2400000000000006E-2</v>
      </c>
      <c r="I4">
        <v>6.8599999999999994E-2</v>
      </c>
      <c r="J4">
        <v>0</v>
      </c>
      <c r="K4">
        <v>6.2300000000000001E-2</v>
      </c>
      <c r="L4">
        <v>6.0299999999999999E-2</v>
      </c>
      <c r="M4">
        <v>1.97E-3</v>
      </c>
      <c r="N4">
        <v>5.3800000000000001E-2</v>
      </c>
      <c r="O4" t="s">
        <v>341</v>
      </c>
      <c r="P4">
        <v>5.6099999999999997E-2</v>
      </c>
      <c r="Q4">
        <v>6.2199999999999998E-2</v>
      </c>
      <c r="R4">
        <v>6.2899999999999998E-2</v>
      </c>
      <c r="S4">
        <v>6.5500000000000003E-2</v>
      </c>
      <c r="T4">
        <v>2.5999999999999999E-3</v>
      </c>
      <c r="U4">
        <v>7.2999999999999995E-2</v>
      </c>
    </row>
    <row r="5" spans="1:21" x14ac:dyDescent="0.25">
      <c r="A5" t="str">
        <f t="shared" si="0"/>
        <v>1–64 or 0.073–64 UNC CLASS 3</v>
      </c>
      <c r="B5" t="s">
        <v>344</v>
      </c>
      <c r="C5" t="s">
        <v>337</v>
      </c>
      <c r="D5" t="s">
        <v>345</v>
      </c>
      <c r="E5" t="s">
        <v>346</v>
      </c>
      <c r="F5" t="s">
        <v>342</v>
      </c>
      <c r="G5">
        <v>0</v>
      </c>
      <c r="H5">
        <v>7.2999999999999995E-2</v>
      </c>
      <c r="I5">
        <v>6.9199999999999998E-2</v>
      </c>
      <c r="J5">
        <v>0</v>
      </c>
      <c r="K5">
        <v>6.2899999999999998E-2</v>
      </c>
      <c r="L5">
        <v>6.1400000000000003E-2</v>
      </c>
      <c r="M5">
        <v>1.5E-3</v>
      </c>
      <c r="N5">
        <v>5.4399999999999997E-2</v>
      </c>
      <c r="O5" t="s">
        <v>343</v>
      </c>
      <c r="P5">
        <v>5.6099999999999997E-2</v>
      </c>
      <c r="Q5">
        <v>6.2199999999999998E-2</v>
      </c>
      <c r="R5">
        <v>6.2899999999999998E-2</v>
      </c>
      <c r="S5">
        <v>6.4799999999999996E-2</v>
      </c>
      <c r="T5">
        <v>1.9E-3</v>
      </c>
      <c r="U5">
        <v>7.2999999999999995E-2</v>
      </c>
    </row>
    <row r="6" spans="1:21" x14ac:dyDescent="0.25">
      <c r="A6" t="str">
        <f t="shared" si="0"/>
        <v>1–72 or 0.073–72 UNF CLASS 2</v>
      </c>
      <c r="B6" t="s">
        <v>347</v>
      </c>
      <c r="C6" t="s">
        <v>337</v>
      </c>
      <c r="D6" t="s">
        <v>348</v>
      </c>
      <c r="E6" t="s">
        <v>339</v>
      </c>
      <c r="F6" t="s">
        <v>340</v>
      </c>
      <c r="G6">
        <v>5.9999999999999995E-4</v>
      </c>
      <c r="H6">
        <v>7.2400000000000006E-2</v>
      </c>
      <c r="I6">
        <v>6.8900000000000003E-2</v>
      </c>
      <c r="J6">
        <v>0</v>
      </c>
      <c r="K6">
        <v>6.3399999999999998E-2</v>
      </c>
      <c r="L6">
        <v>6.1499999999999999E-2</v>
      </c>
      <c r="M6">
        <v>1.8990000000000001E-3</v>
      </c>
      <c r="N6">
        <v>5.5899999999999998E-2</v>
      </c>
      <c r="O6" t="s">
        <v>341</v>
      </c>
      <c r="P6">
        <v>5.8000000000000003E-2</v>
      </c>
      <c r="Q6">
        <v>6.3399999999999998E-2</v>
      </c>
      <c r="R6">
        <v>6.4000000000000001E-2</v>
      </c>
      <c r="S6">
        <v>6.6500000000000004E-2</v>
      </c>
      <c r="T6">
        <v>2.5000000000000001E-3</v>
      </c>
      <c r="U6">
        <v>7.2999999999999995E-2</v>
      </c>
    </row>
    <row r="7" spans="1:21" x14ac:dyDescent="0.25">
      <c r="A7" t="str">
        <f t="shared" si="0"/>
        <v>1–72 or 0.073–72 UNF CLASS 3</v>
      </c>
      <c r="B7" t="s">
        <v>347</v>
      </c>
      <c r="C7" t="s">
        <v>337</v>
      </c>
      <c r="D7" t="s">
        <v>348</v>
      </c>
      <c r="E7" t="s">
        <v>339</v>
      </c>
      <c r="F7" t="s">
        <v>342</v>
      </c>
      <c r="G7">
        <v>0</v>
      </c>
      <c r="H7">
        <v>7.2999999999999995E-2</v>
      </c>
      <c r="I7">
        <v>6.9500000000000006E-2</v>
      </c>
      <c r="J7">
        <v>0</v>
      </c>
      <c r="K7">
        <v>6.4000000000000001E-2</v>
      </c>
      <c r="L7">
        <v>6.2600000000000003E-2</v>
      </c>
      <c r="M7">
        <v>1.4E-3</v>
      </c>
      <c r="N7">
        <v>5.6500000000000002E-2</v>
      </c>
      <c r="O7" t="s">
        <v>343</v>
      </c>
      <c r="P7">
        <v>5.8000000000000003E-2</v>
      </c>
      <c r="Q7">
        <v>6.3399999999999998E-2</v>
      </c>
      <c r="R7">
        <v>6.4000000000000001E-2</v>
      </c>
      <c r="S7">
        <v>6.59E-2</v>
      </c>
      <c r="T7">
        <v>1.9E-3</v>
      </c>
      <c r="U7">
        <v>7.2999999999999995E-2</v>
      </c>
    </row>
    <row r="8" spans="1:21" x14ac:dyDescent="0.25">
      <c r="A8" t="str">
        <f t="shared" si="0"/>
        <v>2–56 or 0.086–56 UNC CLASS 2</v>
      </c>
      <c r="B8" t="s">
        <v>349</v>
      </c>
      <c r="C8" t="s">
        <v>337</v>
      </c>
      <c r="D8" t="s">
        <v>350</v>
      </c>
      <c r="E8" t="s">
        <v>346</v>
      </c>
      <c r="F8" t="s">
        <v>340</v>
      </c>
      <c r="G8">
        <v>5.9999999999999995E-4</v>
      </c>
      <c r="H8">
        <v>8.5400000000000004E-2</v>
      </c>
      <c r="I8">
        <v>8.1299999999999997E-2</v>
      </c>
      <c r="J8">
        <v>0</v>
      </c>
      <c r="K8">
        <v>7.3800000000000004E-2</v>
      </c>
      <c r="L8">
        <v>7.17E-2</v>
      </c>
      <c r="M8">
        <v>2.127E-3</v>
      </c>
      <c r="N8">
        <v>6.4100000000000004E-2</v>
      </c>
      <c r="O8" t="s">
        <v>341</v>
      </c>
      <c r="P8">
        <v>6.6699999999999995E-2</v>
      </c>
      <c r="Q8">
        <v>7.3700000000000002E-2</v>
      </c>
      <c r="R8">
        <v>7.4399999999999994E-2</v>
      </c>
      <c r="S8">
        <v>7.7200000000000005E-2</v>
      </c>
      <c r="T8">
        <v>2.8E-3</v>
      </c>
      <c r="U8">
        <v>8.5999999999999993E-2</v>
      </c>
    </row>
    <row r="9" spans="1:21" x14ac:dyDescent="0.25">
      <c r="A9" t="str">
        <f t="shared" si="0"/>
        <v>2–56 or 0.086–56 UNC CLASS 3</v>
      </c>
      <c r="B9" t="s">
        <v>349</v>
      </c>
      <c r="C9" t="s">
        <v>337</v>
      </c>
      <c r="D9" t="s">
        <v>350</v>
      </c>
      <c r="E9" t="s">
        <v>346</v>
      </c>
      <c r="F9" t="s">
        <v>342</v>
      </c>
      <c r="G9">
        <v>0</v>
      </c>
      <c r="H9">
        <v>8.5999999999999993E-2</v>
      </c>
      <c r="I9">
        <v>8.1900000000000001E-2</v>
      </c>
      <c r="J9">
        <v>0</v>
      </c>
      <c r="K9">
        <v>7.4399999999999994E-2</v>
      </c>
      <c r="L9">
        <v>7.2800000000000004E-2</v>
      </c>
      <c r="M9">
        <v>1.6000000000000001E-3</v>
      </c>
      <c r="N9">
        <v>6.4699999999999994E-2</v>
      </c>
      <c r="O9" t="s">
        <v>343</v>
      </c>
      <c r="P9">
        <v>6.6699999999999995E-2</v>
      </c>
      <c r="Q9">
        <v>7.3700000000000002E-2</v>
      </c>
      <c r="R9">
        <v>7.4399999999999994E-2</v>
      </c>
      <c r="S9">
        <v>7.6499999999999999E-2</v>
      </c>
      <c r="T9">
        <v>2.0999999999999999E-3</v>
      </c>
      <c r="U9">
        <v>8.5999999999999993E-2</v>
      </c>
    </row>
    <row r="10" spans="1:21" x14ac:dyDescent="0.25">
      <c r="A10" t="str">
        <f t="shared" si="0"/>
        <v>2–64 or 0.086–64 UNF CLASS 2</v>
      </c>
      <c r="B10" t="s">
        <v>351</v>
      </c>
      <c r="C10" t="s">
        <v>337</v>
      </c>
      <c r="D10" t="s">
        <v>352</v>
      </c>
      <c r="E10" t="s">
        <v>339</v>
      </c>
      <c r="F10" t="s">
        <v>340</v>
      </c>
      <c r="G10">
        <v>5.9999999999999995E-4</v>
      </c>
      <c r="H10">
        <v>8.5400000000000004E-2</v>
      </c>
      <c r="I10">
        <v>8.1600000000000006E-2</v>
      </c>
      <c r="J10">
        <v>0</v>
      </c>
      <c r="K10">
        <v>7.5300000000000006E-2</v>
      </c>
      <c r="L10">
        <v>7.3300000000000004E-2</v>
      </c>
      <c r="M10">
        <v>2.0400000000000001E-3</v>
      </c>
      <c r="N10">
        <v>6.6799999999999998E-2</v>
      </c>
      <c r="O10" t="s">
        <v>341</v>
      </c>
      <c r="P10">
        <v>6.9099999999999995E-2</v>
      </c>
      <c r="Q10">
        <v>7.5200000000000003E-2</v>
      </c>
      <c r="R10">
        <v>7.5899999999999995E-2</v>
      </c>
      <c r="S10">
        <v>7.8600000000000003E-2</v>
      </c>
      <c r="T10">
        <v>2.7000000000000001E-3</v>
      </c>
      <c r="U10">
        <v>8.5999999999999993E-2</v>
      </c>
    </row>
    <row r="11" spans="1:21" x14ac:dyDescent="0.25">
      <c r="A11" t="str">
        <f t="shared" si="0"/>
        <v>2–64 or 0.086–64 UNF CLASS 3</v>
      </c>
      <c r="B11" t="s">
        <v>351</v>
      </c>
      <c r="C11" t="s">
        <v>337</v>
      </c>
      <c r="D11" t="s">
        <v>352</v>
      </c>
      <c r="E11" t="s">
        <v>339</v>
      </c>
      <c r="F11" t="s">
        <v>342</v>
      </c>
      <c r="G11">
        <v>0</v>
      </c>
      <c r="H11">
        <v>8.5999999999999993E-2</v>
      </c>
      <c r="I11">
        <v>8.2199999999999995E-2</v>
      </c>
      <c r="J11">
        <v>0</v>
      </c>
      <c r="K11">
        <v>7.5899999999999995E-2</v>
      </c>
      <c r="L11">
        <v>7.4399999999999994E-2</v>
      </c>
      <c r="M11">
        <v>1.5E-3</v>
      </c>
      <c r="N11">
        <v>6.7400000000000002E-2</v>
      </c>
      <c r="O11" t="s">
        <v>343</v>
      </c>
      <c r="P11">
        <v>6.9099999999999995E-2</v>
      </c>
      <c r="Q11">
        <v>7.5200000000000003E-2</v>
      </c>
      <c r="R11">
        <v>7.5899999999999995E-2</v>
      </c>
      <c r="S11">
        <v>7.7899999999999997E-2</v>
      </c>
      <c r="T11">
        <v>2E-3</v>
      </c>
      <c r="U11">
        <v>8.5999999999999993E-2</v>
      </c>
    </row>
    <row r="12" spans="1:21" x14ac:dyDescent="0.25">
      <c r="A12" t="str">
        <f t="shared" si="0"/>
        <v>3–48 or 0.099–48 UNC CLASS 2</v>
      </c>
      <c r="B12" t="s">
        <v>353</v>
      </c>
      <c r="C12" t="s">
        <v>337</v>
      </c>
      <c r="D12" t="s">
        <v>354</v>
      </c>
      <c r="E12" t="s">
        <v>346</v>
      </c>
      <c r="F12" t="s">
        <v>340</v>
      </c>
      <c r="G12">
        <v>6.9999999999999999E-4</v>
      </c>
      <c r="H12">
        <v>9.8299999999999998E-2</v>
      </c>
      <c r="I12">
        <v>9.3799999999999994E-2</v>
      </c>
      <c r="J12">
        <v>0</v>
      </c>
      <c r="K12">
        <v>8.48E-2</v>
      </c>
      <c r="L12">
        <v>8.2500000000000004E-2</v>
      </c>
      <c r="M12">
        <v>2.3019999999999998E-3</v>
      </c>
      <c r="N12">
        <v>7.3499999999999996E-2</v>
      </c>
      <c r="O12" t="s">
        <v>341</v>
      </c>
      <c r="P12">
        <v>7.6399999999999996E-2</v>
      </c>
      <c r="Q12">
        <v>8.4500000000000006E-2</v>
      </c>
      <c r="R12">
        <v>8.5500000000000007E-2</v>
      </c>
      <c r="S12">
        <v>8.8499999999999995E-2</v>
      </c>
      <c r="T12">
        <v>3.0000000000000001E-3</v>
      </c>
      <c r="U12">
        <v>9.9000000000000005E-2</v>
      </c>
    </row>
    <row r="13" spans="1:21" x14ac:dyDescent="0.25">
      <c r="A13" t="str">
        <f t="shared" si="0"/>
        <v>3–48 or 0.099–48 UNC CLASS 3</v>
      </c>
      <c r="B13" t="s">
        <v>353</v>
      </c>
      <c r="C13" t="s">
        <v>337</v>
      </c>
      <c r="D13" t="s">
        <v>354</v>
      </c>
      <c r="E13" t="s">
        <v>346</v>
      </c>
      <c r="F13" t="s">
        <v>342</v>
      </c>
      <c r="G13">
        <v>0</v>
      </c>
      <c r="H13">
        <v>9.9000000000000005E-2</v>
      </c>
      <c r="I13">
        <v>9.4500000000000001E-2</v>
      </c>
      <c r="J13">
        <v>0</v>
      </c>
      <c r="K13">
        <v>8.5500000000000007E-2</v>
      </c>
      <c r="L13">
        <v>8.3799999999999999E-2</v>
      </c>
      <c r="M13">
        <v>1.6999999999999999E-3</v>
      </c>
      <c r="N13">
        <v>7.4200000000000002E-2</v>
      </c>
      <c r="O13" t="s">
        <v>343</v>
      </c>
      <c r="P13">
        <v>7.6399999999999996E-2</v>
      </c>
      <c r="Q13">
        <v>8.4500000000000006E-2</v>
      </c>
      <c r="R13">
        <v>8.5500000000000007E-2</v>
      </c>
      <c r="S13">
        <v>8.77E-2</v>
      </c>
      <c r="T13">
        <v>2.2000000000000001E-3</v>
      </c>
      <c r="U13">
        <v>9.9000000000000005E-2</v>
      </c>
    </row>
    <row r="14" spans="1:21" x14ac:dyDescent="0.25">
      <c r="A14" t="str">
        <f t="shared" si="0"/>
        <v>3–56 or 0.099–56 UNF CLASS 2</v>
      </c>
      <c r="B14" t="s">
        <v>355</v>
      </c>
      <c r="C14" t="s">
        <v>337</v>
      </c>
      <c r="D14" t="s">
        <v>356</v>
      </c>
      <c r="E14" t="s">
        <v>339</v>
      </c>
      <c r="F14" t="s">
        <v>340</v>
      </c>
      <c r="G14">
        <v>6.9999999999999999E-4</v>
      </c>
      <c r="H14">
        <v>9.8299999999999998E-2</v>
      </c>
      <c r="I14">
        <v>9.4200000000000006E-2</v>
      </c>
      <c r="J14">
        <v>0</v>
      </c>
      <c r="K14">
        <v>8.6699999999999999E-2</v>
      </c>
      <c r="L14">
        <v>8.4500000000000006E-2</v>
      </c>
      <c r="M14">
        <v>2.1909999999999998E-3</v>
      </c>
      <c r="N14">
        <v>7.6999999999999999E-2</v>
      </c>
      <c r="O14" t="s">
        <v>341</v>
      </c>
      <c r="P14">
        <v>7.9699999999999993E-2</v>
      </c>
      <c r="Q14">
        <v>8.6499999999999994E-2</v>
      </c>
      <c r="R14">
        <v>8.7400000000000005E-2</v>
      </c>
      <c r="S14">
        <v>9.0200000000000002E-2</v>
      </c>
      <c r="T14">
        <v>2.8E-3</v>
      </c>
      <c r="U14">
        <v>9.9000000000000005E-2</v>
      </c>
    </row>
    <row r="15" spans="1:21" x14ac:dyDescent="0.25">
      <c r="A15" t="str">
        <f t="shared" si="0"/>
        <v>3–56 or 0.099–56 UNF CLASS 3</v>
      </c>
      <c r="B15" t="s">
        <v>355</v>
      </c>
      <c r="C15" t="s">
        <v>337</v>
      </c>
      <c r="D15" t="s">
        <v>356</v>
      </c>
      <c r="E15" t="s">
        <v>339</v>
      </c>
      <c r="F15" t="s">
        <v>342</v>
      </c>
      <c r="G15">
        <v>0</v>
      </c>
      <c r="H15">
        <v>9.9000000000000005E-2</v>
      </c>
      <c r="I15">
        <v>9.4899999999999998E-2</v>
      </c>
      <c r="J15">
        <v>0</v>
      </c>
      <c r="K15">
        <v>8.7400000000000005E-2</v>
      </c>
      <c r="L15">
        <v>8.5800000000000001E-2</v>
      </c>
      <c r="M15">
        <v>1.6000000000000001E-3</v>
      </c>
      <c r="N15">
        <v>7.7700000000000005E-2</v>
      </c>
      <c r="O15" t="s">
        <v>343</v>
      </c>
      <c r="P15">
        <v>7.9699999999999993E-2</v>
      </c>
      <c r="Q15">
        <v>8.6499999999999994E-2</v>
      </c>
      <c r="R15">
        <v>8.7400000000000005E-2</v>
      </c>
      <c r="S15">
        <v>8.9499999999999996E-2</v>
      </c>
      <c r="T15">
        <v>2.0999999999999999E-3</v>
      </c>
      <c r="U15">
        <v>9.9000000000000005E-2</v>
      </c>
    </row>
    <row r="16" spans="1:21" x14ac:dyDescent="0.25">
      <c r="A16" t="str">
        <f t="shared" si="0"/>
        <v>4–40 or 0.112–40 UNC CLASS 2</v>
      </c>
      <c r="B16" t="s">
        <v>357</v>
      </c>
      <c r="C16" t="s">
        <v>337</v>
      </c>
      <c r="D16" t="s">
        <v>358</v>
      </c>
      <c r="E16" t="s">
        <v>346</v>
      </c>
      <c r="F16" t="s">
        <v>340</v>
      </c>
      <c r="G16">
        <v>8.0000000000000004E-4</v>
      </c>
      <c r="H16">
        <v>0.11119999999999999</v>
      </c>
      <c r="I16">
        <v>0.1061</v>
      </c>
      <c r="J16">
        <v>0</v>
      </c>
      <c r="K16">
        <v>9.5000000000000001E-2</v>
      </c>
      <c r="L16">
        <v>9.2499999999999999E-2</v>
      </c>
      <c r="M16">
        <v>2.5070000000000001E-3</v>
      </c>
      <c r="N16">
        <v>8.14E-2</v>
      </c>
      <c r="O16" t="s">
        <v>341</v>
      </c>
      <c r="P16">
        <v>8.4900000000000003E-2</v>
      </c>
      <c r="Q16">
        <v>9.3899999999999997E-2</v>
      </c>
      <c r="R16">
        <v>9.5799999999999996E-2</v>
      </c>
      <c r="S16">
        <v>9.9099999999999994E-2</v>
      </c>
      <c r="T16">
        <v>3.3E-3</v>
      </c>
      <c r="U16">
        <v>0.112</v>
      </c>
    </row>
    <row r="17" spans="1:21" x14ac:dyDescent="0.25">
      <c r="A17" t="str">
        <f t="shared" si="0"/>
        <v>4–40 or 0.112–40 UNC CLASS 3</v>
      </c>
      <c r="B17" t="s">
        <v>357</v>
      </c>
      <c r="C17" t="s">
        <v>337</v>
      </c>
      <c r="D17" t="s">
        <v>358</v>
      </c>
      <c r="E17" t="s">
        <v>346</v>
      </c>
      <c r="F17" t="s">
        <v>342</v>
      </c>
      <c r="G17">
        <v>0</v>
      </c>
      <c r="H17">
        <v>0.112</v>
      </c>
      <c r="I17">
        <v>0.1069</v>
      </c>
      <c r="J17">
        <v>0</v>
      </c>
      <c r="K17">
        <v>9.5799999999999996E-2</v>
      </c>
      <c r="L17">
        <v>9.3899999999999997E-2</v>
      </c>
      <c r="M17">
        <v>1.9E-3</v>
      </c>
      <c r="N17">
        <v>8.2199999999999995E-2</v>
      </c>
      <c r="O17" t="s">
        <v>343</v>
      </c>
      <c r="P17">
        <v>8.4900000000000003E-2</v>
      </c>
      <c r="Q17">
        <v>9.3899999999999997E-2</v>
      </c>
      <c r="R17">
        <v>9.5799999999999996E-2</v>
      </c>
      <c r="S17">
        <v>9.8199999999999996E-2</v>
      </c>
      <c r="T17">
        <v>2.3999999999999998E-3</v>
      </c>
      <c r="U17">
        <v>0.112</v>
      </c>
    </row>
    <row r="18" spans="1:21" x14ac:dyDescent="0.25">
      <c r="A18" t="str">
        <f t="shared" si="0"/>
        <v>4–48 or 0.112–48 UNF CLASS 2</v>
      </c>
      <c r="B18" t="s">
        <v>359</v>
      </c>
      <c r="C18" t="s">
        <v>337</v>
      </c>
      <c r="D18" t="s">
        <v>360</v>
      </c>
      <c r="E18" t="s">
        <v>339</v>
      </c>
      <c r="F18" t="s">
        <v>340</v>
      </c>
      <c r="G18">
        <v>6.9999999999999999E-4</v>
      </c>
      <c r="H18">
        <v>0.1113</v>
      </c>
      <c r="I18">
        <v>0.10680000000000001</v>
      </c>
      <c r="J18">
        <v>0</v>
      </c>
      <c r="K18">
        <v>9.7799999999999998E-2</v>
      </c>
      <c r="L18">
        <v>9.5399999999999999E-2</v>
      </c>
      <c r="M18">
        <v>2.3609999999999998E-3</v>
      </c>
      <c r="N18">
        <v>8.6499999999999994E-2</v>
      </c>
      <c r="O18" t="s">
        <v>341</v>
      </c>
      <c r="P18">
        <v>8.9399999999999993E-2</v>
      </c>
      <c r="Q18">
        <v>9.6799999999999997E-2</v>
      </c>
      <c r="R18">
        <v>9.8500000000000004E-2</v>
      </c>
      <c r="S18">
        <v>0.1016</v>
      </c>
      <c r="T18">
        <v>3.0999999999999999E-3</v>
      </c>
      <c r="U18">
        <v>0.112</v>
      </c>
    </row>
    <row r="19" spans="1:21" x14ac:dyDescent="0.25">
      <c r="A19" t="str">
        <f t="shared" si="0"/>
        <v>4–48 or 0.112–48 UNF CLASS 3</v>
      </c>
      <c r="B19" t="s">
        <v>359</v>
      </c>
      <c r="C19" t="s">
        <v>337</v>
      </c>
      <c r="D19" t="s">
        <v>360</v>
      </c>
      <c r="E19" t="s">
        <v>339</v>
      </c>
      <c r="F19" t="s">
        <v>342</v>
      </c>
      <c r="G19">
        <v>0</v>
      </c>
      <c r="H19">
        <v>0.112</v>
      </c>
      <c r="I19">
        <v>0.1075</v>
      </c>
      <c r="J19">
        <v>0</v>
      </c>
      <c r="K19">
        <v>9.8500000000000004E-2</v>
      </c>
      <c r="L19">
        <v>9.6699999999999994E-2</v>
      </c>
      <c r="M19">
        <v>1.8E-3</v>
      </c>
      <c r="N19">
        <v>8.72E-2</v>
      </c>
      <c r="O19" t="s">
        <v>343</v>
      </c>
      <c r="P19">
        <v>8.9399999999999993E-2</v>
      </c>
      <c r="Q19">
        <v>9.6799999999999997E-2</v>
      </c>
      <c r="R19">
        <v>9.8500000000000004E-2</v>
      </c>
      <c r="S19">
        <v>0.1008</v>
      </c>
      <c r="T19">
        <v>2.3E-3</v>
      </c>
      <c r="U19">
        <v>0.112</v>
      </c>
    </row>
    <row r="20" spans="1:21" x14ac:dyDescent="0.25">
      <c r="A20" t="str">
        <f t="shared" si="0"/>
        <v>5–40 or 0.125–40 UNC CLASS 2</v>
      </c>
      <c r="B20" t="s">
        <v>361</v>
      </c>
      <c r="C20" t="s">
        <v>337</v>
      </c>
      <c r="D20" t="s">
        <v>362</v>
      </c>
      <c r="E20" t="s">
        <v>346</v>
      </c>
      <c r="F20" t="s">
        <v>340</v>
      </c>
      <c r="G20">
        <v>8.0000000000000004E-4</v>
      </c>
      <c r="H20">
        <v>0.1242</v>
      </c>
      <c r="I20">
        <v>0.1191</v>
      </c>
      <c r="J20">
        <v>0</v>
      </c>
      <c r="K20">
        <v>0.108</v>
      </c>
      <c r="L20">
        <v>0.10539999999999999</v>
      </c>
      <c r="M20">
        <v>2.562E-3</v>
      </c>
      <c r="N20">
        <v>9.4399999999999998E-2</v>
      </c>
      <c r="O20" t="s">
        <v>341</v>
      </c>
      <c r="P20">
        <v>9.7900000000000001E-2</v>
      </c>
      <c r="Q20">
        <v>0.1062</v>
      </c>
      <c r="R20">
        <v>0.10879999999999999</v>
      </c>
      <c r="S20">
        <v>0.11210000000000001</v>
      </c>
      <c r="T20">
        <v>3.3E-3</v>
      </c>
      <c r="U20">
        <v>0.125</v>
      </c>
    </row>
    <row r="21" spans="1:21" x14ac:dyDescent="0.25">
      <c r="A21" t="str">
        <f t="shared" si="0"/>
        <v>5–40 or 0.125–40 UNC CLASS 3</v>
      </c>
      <c r="B21" t="s">
        <v>361</v>
      </c>
      <c r="C21" t="s">
        <v>337</v>
      </c>
      <c r="D21" t="s">
        <v>362</v>
      </c>
      <c r="E21" t="s">
        <v>346</v>
      </c>
      <c r="F21" t="s">
        <v>342</v>
      </c>
      <c r="G21">
        <v>0</v>
      </c>
      <c r="H21">
        <v>0.125</v>
      </c>
      <c r="I21">
        <v>0.11990000000000001</v>
      </c>
      <c r="J21">
        <v>0</v>
      </c>
      <c r="K21">
        <v>0.10879999999999999</v>
      </c>
      <c r="L21">
        <v>0.1069</v>
      </c>
      <c r="M21">
        <v>1.9E-3</v>
      </c>
      <c r="N21">
        <v>9.5200000000000007E-2</v>
      </c>
      <c r="O21" t="s">
        <v>343</v>
      </c>
      <c r="P21">
        <v>9.7900000000000001E-2</v>
      </c>
      <c r="Q21">
        <v>0.1062</v>
      </c>
      <c r="R21">
        <v>0.10879999999999999</v>
      </c>
      <c r="S21">
        <v>0.1113</v>
      </c>
      <c r="T21">
        <v>2.5000000000000001E-3</v>
      </c>
      <c r="U21">
        <v>0.125</v>
      </c>
    </row>
    <row r="22" spans="1:21" x14ac:dyDescent="0.25">
      <c r="A22" t="str">
        <f t="shared" si="0"/>
        <v>5–44 or 0.125–44 UNF CLASS 2</v>
      </c>
      <c r="B22" t="s">
        <v>363</v>
      </c>
      <c r="C22" t="s">
        <v>337</v>
      </c>
      <c r="D22" t="s">
        <v>364</v>
      </c>
      <c r="E22" t="s">
        <v>339</v>
      </c>
      <c r="F22" t="s">
        <v>340</v>
      </c>
      <c r="G22">
        <v>6.9999999999999999E-4</v>
      </c>
      <c r="H22">
        <v>0.12429999999999999</v>
      </c>
      <c r="I22">
        <v>0.1195</v>
      </c>
      <c r="J22">
        <v>0</v>
      </c>
      <c r="K22">
        <v>0.1095</v>
      </c>
      <c r="L22">
        <v>0.107</v>
      </c>
      <c r="M22">
        <v>2.4840000000000001E-3</v>
      </c>
      <c r="N22">
        <v>9.7199999999999995E-2</v>
      </c>
      <c r="O22" t="s">
        <v>341</v>
      </c>
      <c r="P22">
        <v>0.1004</v>
      </c>
      <c r="Q22">
        <v>0.1079</v>
      </c>
      <c r="R22">
        <v>0.11020000000000001</v>
      </c>
      <c r="S22">
        <v>0.1134</v>
      </c>
      <c r="T22">
        <v>3.2000000000000002E-3</v>
      </c>
      <c r="U22">
        <v>0.125</v>
      </c>
    </row>
    <row r="23" spans="1:21" x14ac:dyDescent="0.25">
      <c r="A23" t="str">
        <f t="shared" si="0"/>
        <v>5–44 or 0.125–44 UNF CLASS 3</v>
      </c>
      <c r="B23" t="s">
        <v>363</v>
      </c>
      <c r="C23" t="s">
        <v>337</v>
      </c>
      <c r="D23" t="s">
        <v>364</v>
      </c>
      <c r="E23" t="s">
        <v>339</v>
      </c>
      <c r="F23" t="s">
        <v>342</v>
      </c>
      <c r="G23">
        <v>0</v>
      </c>
      <c r="H23">
        <v>0.125</v>
      </c>
      <c r="I23">
        <v>0.1202</v>
      </c>
      <c r="J23">
        <v>0</v>
      </c>
      <c r="K23">
        <v>0.11020000000000001</v>
      </c>
      <c r="L23">
        <v>0.10829999999999999</v>
      </c>
      <c r="M23">
        <v>1.9E-3</v>
      </c>
      <c r="N23">
        <v>9.7900000000000001E-2</v>
      </c>
      <c r="O23" t="s">
        <v>343</v>
      </c>
      <c r="P23">
        <v>0.1004</v>
      </c>
      <c r="Q23">
        <v>0.1079</v>
      </c>
      <c r="R23">
        <v>0.11020000000000001</v>
      </c>
      <c r="S23">
        <v>0.11260000000000001</v>
      </c>
      <c r="T23">
        <v>2.3999999999999998E-3</v>
      </c>
      <c r="U23">
        <v>0.125</v>
      </c>
    </row>
    <row r="24" spans="1:21" x14ac:dyDescent="0.25">
      <c r="A24" t="str">
        <f t="shared" si="0"/>
        <v>6–32 or 0.138–32 UNC CLASS 2</v>
      </c>
      <c r="B24" t="s">
        <v>365</v>
      </c>
      <c r="C24" t="s">
        <v>337</v>
      </c>
      <c r="D24" t="s">
        <v>366</v>
      </c>
      <c r="E24" t="s">
        <v>346</v>
      </c>
      <c r="F24" t="s">
        <v>340</v>
      </c>
      <c r="G24">
        <v>8.0000000000000004E-4</v>
      </c>
      <c r="H24">
        <v>0.13719999999999999</v>
      </c>
      <c r="I24">
        <v>0.13120000000000001</v>
      </c>
      <c r="J24">
        <v>0</v>
      </c>
      <c r="K24">
        <v>0.1169</v>
      </c>
      <c r="L24">
        <v>0.11409999999999999</v>
      </c>
      <c r="M24">
        <v>2.82E-3</v>
      </c>
      <c r="N24">
        <v>0.1</v>
      </c>
      <c r="O24" t="s">
        <v>341</v>
      </c>
      <c r="P24">
        <v>0.104</v>
      </c>
      <c r="Q24">
        <v>0.114</v>
      </c>
      <c r="R24">
        <v>0.1177</v>
      </c>
      <c r="S24">
        <v>0.12139999999999999</v>
      </c>
      <c r="T24">
        <v>3.7000000000000002E-3</v>
      </c>
      <c r="U24">
        <v>0.13800000000000001</v>
      </c>
    </row>
    <row r="25" spans="1:21" x14ac:dyDescent="0.25">
      <c r="A25" t="str">
        <f t="shared" si="0"/>
        <v>6–32 or 0.138–32 UNC CLASS 3</v>
      </c>
      <c r="B25" t="s">
        <v>365</v>
      </c>
      <c r="C25" t="s">
        <v>337</v>
      </c>
      <c r="D25" t="s">
        <v>366</v>
      </c>
      <c r="E25" t="s">
        <v>346</v>
      </c>
      <c r="F25" t="s">
        <v>342</v>
      </c>
      <c r="G25">
        <v>0</v>
      </c>
      <c r="H25">
        <v>0.13800000000000001</v>
      </c>
      <c r="I25">
        <v>0.13200000000000001</v>
      </c>
      <c r="J25">
        <v>0</v>
      </c>
      <c r="K25">
        <v>0.1177</v>
      </c>
      <c r="L25">
        <v>0.11559999999999999</v>
      </c>
      <c r="M25">
        <v>2.0999999999999999E-3</v>
      </c>
      <c r="N25">
        <v>0.1008</v>
      </c>
      <c r="O25" t="s">
        <v>343</v>
      </c>
      <c r="P25">
        <v>0.104</v>
      </c>
      <c r="Q25">
        <v>0.1139</v>
      </c>
      <c r="R25">
        <v>0.1177</v>
      </c>
      <c r="S25">
        <v>0.12039999999999999</v>
      </c>
      <c r="T25">
        <v>2.7000000000000001E-3</v>
      </c>
      <c r="U25">
        <v>0.13800000000000001</v>
      </c>
    </row>
    <row r="26" spans="1:21" x14ac:dyDescent="0.25">
      <c r="A26" t="str">
        <f t="shared" si="0"/>
        <v>6–40 or 0.138–40 UNF CLASS 2</v>
      </c>
      <c r="B26" t="s">
        <v>367</v>
      </c>
      <c r="C26" t="s">
        <v>337</v>
      </c>
      <c r="D26" t="s">
        <v>368</v>
      </c>
      <c r="E26" t="s">
        <v>339</v>
      </c>
      <c r="F26" t="s">
        <v>340</v>
      </c>
      <c r="G26">
        <v>8.0000000000000004E-4</v>
      </c>
      <c r="H26">
        <v>0.13719999999999999</v>
      </c>
      <c r="I26">
        <v>0.1321</v>
      </c>
      <c r="J26">
        <v>0</v>
      </c>
      <c r="K26">
        <v>0.121</v>
      </c>
      <c r="L26">
        <v>0.11840000000000001</v>
      </c>
      <c r="M26">
        <v>2.614E-3</v>
      </c>
      <c r="N26">
        <v>0.1074</v>
      </c>
      <c r="O26" t="s">
        <v>341</v>
      </c>
      <c r="P26">
        <v>0.111</v>
      </c>
      <c r="Q26">
        <v>0.11899999999999999</v>
      </c>
      <c r="R26">
        <v>0.12180000000000001</v>
      </c>
      <c r="S26">
        <v>0.12520000000000001</v>
      </c>
      <c r="T26">
        <v>3.3999999999999998E-3</v>
      </c>
      <c r="U26">
        <v>0.13800000000000001</v>
      </c>
    </row>
    <row r="27" spans="1:21" x14ac:dyDescent="0.25">
      <c r="A27" t="str">
        <f t="shared" si="0"/>
        <v>6–40 or 0.138–40 UNF CLASS 3</v>
      </c>
      <c r="B27" t="s">
        <v>367</v>
      </c>
      <c r="C27" t="s">
        <v>337</v>
      </c>
      <c r="D27" t="s">
        <v>368</v>
      </c>
      <c r="E27" t="s">
        <v>339</v>
      </c>
      <c r="F27" t="s">
        <v>342</v>
      </c>
      <c r="G27">
        <v>0</v>
      </c>
      <c r="H27">
        <v>0.13800000000000001</v>
      </c>
      <c r="I27">
        <v>0.13289999999999999</v>
      </c>
      <c r="J27">
        <v>0</v>
      </c>
      <c r="K27">
        <v>0.12180000000000001</v>
      </c>
      <c r="L27">
        <v>0.1198</v>
      </c>
      <c r="M27">
        <v>2E-3</v>
      </c>
      <c r="N27">
        <v>0.1082</v>
      </c>
      <c r="O27" t="s">
        <v>343</v>
      </c>
      <c r="P27">
        <v>0.111</v>
      </c>
      <c r="Q27">
        <v>0.1186</v>
      </c>
      <c r="R27">
        <v>0.12180000000000001</v>
      </c>
      <c r="S27">
        <v>0.12429999999999999</v>
      </c>
      <c r="T27">
        <v>2.5000000000000001E-3</v>
      </c>
      <c r="U27">
        <v>0.13800000000000001</v>
      </c>
    </row>
    <row r="28" spans="1:21" x14ac:dyDescent="0.25">
      <c r="A28" t="str">
        <f t="shared" si="0"/>
        <v>8-32 or 0.164-32 UNC CLASS 2</v>
      </c>
      <c r="B28" s="6" t="s">
        <v>369</v>
      </c>
      <c r="C28" t="s">
        <v>337</v>
      </c>
      <c r="D28" t="s">
        <v>370</v>
      </c>
      <c r="E28" t="s">
        <v>346</v>
      </c>
      <c r="F28" t="s">
        <v>340</v>
      </c>
      <c r="G28">
        <v>8.9999999999999998E-4</v>
      </c>
      <c r="H28">
        <v>0.16309999999999999</v>
      </c>
      <c r="I28">
        <v>0.15709999999999999</v>
      </c>
      <c r="J28">
        <v>0</v>
      </c>
      <c r="K28">
        <v>0.14280000000000001</v>
      </c>
      <c r="L28">
        <v>0.1399</v>
      </c>
      <c r="M28">
        <v>2.9160000000000002E-3</v>
      </c>
      <c r="N28">
        <v>0.12590000000000001</v>
      </c>
      <c r="O28" t="s">
        <v>341</v>
      </c>
      <c r="P28">
        <v>0.13</v>
      </c>
      <c r="Q28">
        <v>0.13900000000000001</v>
      </c>
      <c r="R28">
        <v>0.14369999999999999</v>
      </c>
      <c r="S28">
        <v>0.14749999999999999</v>
      </c>
      <c r="T28">
        <v>3.8E-3</v>
      </c>
      <c r="U28">
        <v>0.16400000000000001</v>
      </c>
    </row>
    <row r="29" spans="1:21" x14ac:dyDescent="0.25">
      <c r="A29" t="str">
        <f t="shared" si="0"/>
        <v>8-32 or 0.164-32 UNC CLASS 3</v>
      </c>
      <c r="B29" s="6" t="s">
        <v>369</v>
      </c>
      <c r="C29" t="s">
        <v>337</v>
      </c>
      <c r="D29" t="s">
        <v>370</v>
      </c>
      <c r="E29" t="s">
        <v>346</v>
      </c>
      <c r="F29" t="s">
        <v>342</v>
      </c>
      <c r="G29">
        <v>0</v>
      </c>
      <c r="H29">
        <v>0.16400000000000001</v>
      </c>
      <c r="I29">
        <v>0.158</v>
      </c>
      <c r="J29">
        <v>0</v>
      </c>
      <c r="K29">
        <v>0.14369999999999999</v>
      </c>
      <c r="L29">
        <v>0.14149999999999999</v>
      </c>
      <c r="M29">
        <v>2.2000000000000001E-3</v>
      </c>
      <c r="N29">
        <v>0.1268</v>
      </c>
      <c r="O29" t="s">
        <v>343</v>
      </c>
      <c r="P29">
        <v>0.13</v>
      </c>
      <c r="Q29">
        <v>0.13880000000000001</v>
      </c>
      <c r="R29">
        <v>0.14369999999999999</v>
      </c>
      <c r="S29">
        <v>0.14649999999999999</v>
      </c>
      <c r="T29">
        <v>2.8E-3</v>
      </c>
      <c r="U29">
        <v>0.16400000000000001</v>
      </c>
    </row>
    <row r="30" spans="1:21" x14ac:dyDescent="0.25">
      <c r="A30" t="str">
        <f t="shared" si="0"/>
        <v>8-36 or 0.164-36 UNF CLASS 2</v>
      </c>
      <c r="B30" s="6" t="s">
        <v>371</v>
      </c>
      <c r="C30" t="s">
        <v>337</v>
      </c>
      <c r="D30" t="s">
        <v>372</v>
      </c>
      <c r="E30" t="s">
        <v>339</v>
      </c>
      <c r="F30" t="s">
        <v>340</v>
      </c>
      <c r="G30">
        <v>8.0000000000000004E-4</v>
      </c>
      <c r="H30">
        <v>0.16320000000000001</v>
      </c>
      <c r="I30">
        <v>0.15770000000000001</v>
      </c>
      <c r="J30">
        <v>0</v>
      </c>
      <c r="K30">
        <v>0.1452</v>
      </c>
      <c r="L30">
        <v>0.1424</v>
      </c>
      <c r="M30">
        <v>2.8040000000000001E-3</v>
      </c>
      <c r="N30">
        <v>0.13009999999999999</v>
      </c>
      <c r="O30" t="s">
        <v>341</v>
      </c>
      <c r="P30">
        <v>0.13400000000000001</v>
      </c>
      <c r="Q30">
        <v>0.14199999999999999</v>
      </c>
      <c r="R30">
        <v>0.14599999999999999</v>
      </c>
      <c r="S30">
        <v>0.14960000000000001</v>
      </c>
      <c r="T30">
        <v>3.5999999999999999E-3</v>
      </c>
      <c r="U30">
        <v>0.16400000000000001</v>
      </c>
    </row>
    <row r="31" spans="1:21" x14ac:dyDescent="0.25">
      <c r="A31" t="str">
        <f t="shared" si="0"/>
        <v>8-36 or 0.164-36 UNF CLASS 3</v>
      </c>
      <c r="B31" s="6" t="s">
        <v>371</v>
      </c>
      <c r="C31" t="s">
        <v>337</v>
      </c>
      <c r="D31" t="s">
        <v>372</v>
      </c>
      <c r="E31" t="s">
        <v>339</v>
      </c>
      <c r="F31" t="s">
        <v>342</v>
      </c>
      <c r="G31">
        <v>0</v>
      </c>
      <c r="H31">
        <v>0.16400000000000001</v>
      </c>
      <c r="I31">
        <v>0.1585</v>
      </c>
      <c r="J31">
        <v>0</v>
      </c>
      <c r="K31">
        <v>0.14599999999999999</v>
      </c>
      <c r="L31">
        <v>0.1439</v>
      </c>
      <c r="M31">
        <v>2.0999999999999999E-3</v>
      </c>
      <c r="N31">
        <v>0.13089999999999999</v>
      </c>
      <c r="O31" t="s">
        <v>343</v>
      </c>
      <c r="P31">
        <v>0.13400000000000001</v>
      </c>
      <c r="Q31">
        <v>0.1416</v>
      </c>
      <c r="R31">
        <v>0.14599999999999999</v>
      </c>
      <c r="S31">
        <v>0.1487</v>
      </c>
      <c r="T31">
        <v>2.7000000000000001E-3</v>
      </c>
      <c r="U31">
        <v>0.16400000000000001</v>
      </c>
    </row>
    <row r="32" spans="1:21" x14ac:dyDescent="0.25">
      <c r="A32" t="str">
        <f t="shared" si="0"/>
        <v>10-24 or 0.190-24 UNC CLASS 2</v>
      </c>
      <c r="B32" s="7" t="s">
        <v>373</v>
      </c>
      <c r="C32" t="s">
        <v>337</v>
      </c>
      <c r="D32" t="s">
        <v>374</v>
      </c>
      <c r="E32" t="s">
        <v>346</v>
      </c>
      <c r="F32" t="s">
        <v>340</v>
      </c>
      <c r="G32">
        <v>1E-3</v>
      </c>
      <c r="H32">
        <v>0.189</v>
      </c>
      <c r="I32">
        <v>0.18179999999999999</v>
      </c>
      <c r="J32">
        <v>0</v>
      </c>
      <c r="K32">
        <v>0.16189999999999999</v>
      </c>
      <c r="L32">
        <v>0.15859999999999999</v>
      </c>
      <c r="M32">
        <v>3.3189999999999999E-3</v>
      </c>
      <c r="N32">
        <v>0.1394</v>
      </c>
      <c r="O32" t="s">
        <v>341</v>
      </c>
      <c r="P32">
        <v>0.14499999999999999</v>
      </c>
      <c r="Q32">
        <v>0.155</v>
      </c>
      <c r="R32">
        <v>0.16289999999999999</v>
      </c>
      <c r="S32">
        <v>0.16719999999999999</v>
      </c>
      <c r="T32">
        <v>4.3E-3</v>
      </c>
      <c r="U32">
        <v>0.19</v>
      </c>
    </row>
    <row r="33" spans="1:21" x14ac:dyDescent="0.25">
      <c r="A33" t="str">
        <f t="shared" si="0"/>
        <v>10-24 or 0.190-24 UNC CLASS 3</v>
      </c>
      <c r="B33" s="7" t="s">
        <v>373</v>
      </c>
      <c r="C33" t="s">
        <v>337</v>
      </c>
      <c r="D33" t="s">
        <v>374</v>
      </c>
      <c r="E33" t="s">
        <v>346</v>
      </c>
      <c r="F33" t="s">
        <v>342</v>
      </c>
      <c r="G33">
        <v>0</v>
      </c>
      <c r="H33">
        <v>0.19</v>
      </c>
      <c r="I33">
        <v>0.18279999999999999</v>
      </c>
      <c r="J33">
        <v>0</v>
      </c>
      <c r="K33">
        <v>0.16289999999999999</v>
      </c>
      <c r="L33">
        <v>0.16039999999999999</v>
      </c>
      <c r="M33">
        <v>2.5000000000000001E-3</v>
      </c>
      <c r="N33">
        <v>0.1404</v>
      </c>
      <c r="O33" t="s">
        <v>343</v>
      </c>
      <c r="P33">
        <v>0.14499999999999999</v>
      </c>
      <c r="Q33">
        <v>0.1555</v>
      </c>
      <c r="R33">
        <v>0.16289999999999999</v>
      </c>
      <c r="S33">
        <v>0.1661</v>
      </c>
      <c r="T33">
        <v>3.2000000000000002E-3</v>
      </c>
      <c r="U33">
        <v>0.19</v>
      </c>
    </row>
    <row r="34" spans="1:21" x14ac:dyDescent="0.25">
      <c r="A34" t="str">
        <f t="shared" si="0"/>
        <v>10-32 or 0.190-32 UNF CLASS 2</v>
      </c>
      <c r="B34" s="6" t="s">
        <v>375</v>
      </c>
      <c r="C34" t="s">
        <v>337</v>
      </c>
      <c r="D34" t="s">
        <v>376</v>
      </c>
      <c r="E34" t="s">
        <v>339</v>
      </c>
      <c r="F34" t="s">
        <v>340</v>
      </c>
      <c r="G34">
        <v>8.9999999999999998E-4</v>
      </c>
      <c r="H34">
        <v>0.18909999999999999</v>
      </c>
      <c r="I34">
        <v>0.18310000000000001</v>
      </c>
      <c r="J34">
        <v>0</v>
      </c>
      <c r="K34">
        <v>0.16880000000000001</v>
      </c>
      <c r="L34">
        <v>0.1658</v>
      </c>
      <c r="M34">
        <v>3.0040000000000002E-3</v>
      </c>
      <c r="N34">
        <v>0.15190000000000001</v>
      </c>
      <c r="O34" t="s">
        <v>341</v>
      </c>
      <c r="P34">
        <v>0.156</v>
      </c>
      <c r="Q34">
        <v>0.16400000000000001</v>
      </c>
      <c r="R34">
        <v>0.16969999999999999</v>
      </c>
      <c r="S34">
        <v>0.1736</v>
      </c>
      <c r="T34">
        <v>3.8999999999999998E-3</v>
      </c>
      <c r="U34">
        <v>0.19</v>
      </c>
    </row>
    <row r="35" spans="1:21" x14ac:dyDescent="0.25">
      <c r="A35" t="str">
        <f t="shared" si="0"/>
        <v>10-32 or 0.190-32 UNF CLASS 3</v>
      </c>
      <c r="B35" s="6" t="s">
        <v>375</v>
      </c>
      <c r="C35" t="s">
        <v>337</v>
      </c>
      <c r="D35" t="s">
        <v>376</v>
      </c>
      <c r="E35" t="s">
        <v>339</v>
      </c>
      <c r="F35" t="s">
        <v>342</v>
      </c>
      <c r="G35">
        <v>0</v>
      </c>
      <c r="H35">
        <v>0.19</v>
      </c>
      <c r="I35">
        <v>0.184</v>
      </c>
      <c r="J35">
        <v>0</v>
      </c>
      <c r="K35">
        <v>0.16969999999999999</v>
      </c>
      <c r="L35">
        <v>0.16739999999999999</v>
      </c>
      <c r="M35">
        <v>2.3E-3</v>
      </c>
      <c r="N35">
        <v>0.15279999999999999</v>
      </c>
      <c r="O35" t="s">
        <v>343</v>
      </c>
      <c r="P35">
        <v>0.156</v>
      </c>
      <c r="Q35">
        <v>0.1641</v>
      </c>
      <c r="R35">
        <v>0.16969999999999999</v>
      </c>
      <c r="S35">
        <v>0.1726</v>
      </c>
      <c r="T35">
        <v>2.8999999999999998E-3</v>
      </c>
      <c r="U35">
        <v>0.19</v>
      </c>
    </row>
    <row r="36" spans="1:21" x14ac:dyDescent="0.25">
      <c r="A36" t="str">
        <f t="shared" si="0"/>
        <v>12-24 or 0.216-24 UNC CLASS 2</v>
      </c>
      <c r="B36" s="7" t="s">
        <v>377</v>
      </c>
      <c r="C36" t="s">
        <v>337</v>
      </c>
      <c r="D36" t="s">
        <v>378</v>
      </c>
      <c r="E36" t="s">
        <v>346</v>
      </c>
      <c r="F36" t="s">
        <v>340</v>
      </c>
      <c r="G36">
        <v>1E-3</v>
      </c>
      <c r="H36">
        <v>0.215</v>
      </c>
      <c r="I36">
        <v>0.20780000000000001</v>
      </c>
      <c r="J36">
        <v>0</v>
      </c>
      <c r="K36">
        <v>0.18790000000000001</v>
      </c>
      <c r="L36">
        <v>0.1845</v>
      </c>
      <c r="M36">
        <v>3.3999999999999998E-3</v>
      </c>
      <c r="N36">
        <v>0.16539999999999999</v>
      </c>
      <c r="O36" t="s">
        <v>341</v>
      </c>
      <c r="P36">
        <v>0.17100000000000001</v>
      </c>
      <c r="Q36">
        <v>0.18099999999999999</v>
      </c>
      <c r="R36">
        <v>0.18890000000000001</v>
      </c>
      <c r="S36">
        <v>0.1933</v>
      </c>
      <c r="T36">
        <v>4.4000000000000003E-3</v>
      </c>
      <c r="U36">
        <v>0.216</v>
      </c>
    </row>
    <row r="37" spans="1:21" x14ac:dyDescent="0.25">
      <c r="A37" t="str">
        <f t="shared" si="0"/>
        <v>12-24 or 0.216-24 UNC CLASS 3</v>
      </c>
      <c r="B37" s="7" t="s">
        <v>377</v>
      </c>
      <c r="C37" t="s">
        <v>337</v>
      </c>
      <c r="D37" t="s">
        <v>378</v>
      </c>
      <c r="E37" t="s">
        <v>346</v>
      </c>
      <c r="F37" t="s">
        <v>342</v>
      </c>
      <c r="G37">
        <v>0</v>
      </c>
      <c r="H37">
        <v>0.216</v>
      </c>
      <c r="I37">
        <v>0.20880000000000001</v>
      </c>
      <c r="J37">
        <v>0</v>
      </c>
      <c r="K37">
        <v>0.18890000000000001</v>
      </c>
      <c r="L37">
        <v>0.18629999999999999</v>
      </c>
      <c r="M37">
        <v>2.5999999999999999E-3</v>
      </c>
      <c r="N37">
        <v>0.16639999999999999</v>
      </c>
      <c r="O37" t="s">
        <v>343</v>
      </c>
      <c r="P37">
        <v>0.17100000000000001</v>
      </c>
      <c r="Q37">
        <v>0.1807</v>
      </c>
      <c r="R37">
        <v>0.18890000000000001</v>
      </c>
      <c r="S37">
        <v>0.19220000000000001</v>
      </c>
      <c r="T37">
        <v>3.3E-3</v>
      </c>
      <c r="U37">
        <v>0.216</v>
      </c>
    </row>
    <row r="38" spans="1:21" x14ac:dyDescent="0.25">
      <c r="A38" t="str">
        <f t="shared" si="0"/>
        <v>12-28 or 0.216-28 UNF CLASS 2</v>
      </c>
      <c r="B38" s="7" t="s">
        <v>379</v>
      </c>
      <c r="C38" t="s">
        <v>337</v>
      </c>
      <c r="D38" t="s">
        <v>380</v>
      </c>
      <c r="E38" t="s">
        <v>339</v>
      </c>
      <c r="F38" t="s">
        <v>340</v>
      </c>
      <c r="G38">
        <v>1E-3</v>
      </c>
      <c r="H38">
        <v>0.215</v>
      </c>
      <c r="I38">
        <v>0.20849999999999999</v>
      </c>
      <c r="J38">
        <v>0</v>
      </c>
      <c r="K38">
        <v>0.1918</v>
      </c>
      <c r="L38">
        <v>0.18859999999999999</v>
      </c>
      <c r="M38">
        <v>3.2239999999999999E-3</v>
      </c>
      <c r="N38">
        <v>0.17249999999999999</v>
      </c>
      <c r="O38" t="s">
        <v>341</v>
      </c>
      <c r="P38">
        <v>0.17699999999999999</v>
      </c>
      <c r="Q38">
        <v>0.186</v>
      </c>
      <c r="R38">
        <v>0.1928</v>
      </c>
      <c r="S38">
        <v>0.19700000000000001</v>
      </c>
      <c r="T38">
        <v>4.1999999999999997E-3</v>
      </c>
      <c r="U38">
        <v>0.216</v>
      </c>
    </row>
    <row r="39" spans="1:21" x14ac:dyDescent="0.25">
      <c r="A39" t="str">
        <f t="shared" si="0"/>
        <v>12-28 or 0.216-28 UNF CLASS 3</v>
      </c>
      <c r="B39" s="7" t="s">
        <v>379</v>
      </c>
      <c r="C39" t="s">
        <v>337</v>
      </c>
      <c r="D39" t="s">
        <v>380</v>
      </c>
      <c r="E39" t="s">
        <v>339</v>
      </c>
      <c r="F39" t="s">
        <v>342</v>
      </c>
      <c r="G39">
        <v>0</v>
      </c>
      <c r="H39">
        <v>0.216</v>
      </c>
      <c r="I39">
        <v>0.20949999999999999</v>
      </c>
      <c r="J39">
        <v>0</v>
      </c>
      <c r="K39">
        <v>0.1928</v>
      </c>
      <c r="L39">
        <v>0.19040000000000001</v>
      </c>
      <c r="M39">
        <v>2.3999999999999998E-3</v>
      </c>
      <c r="N39">
        <v>0.17349999999999999</v>
      </c>
      <c r="O39" t="s">
        <v>343</v>
      </c>
      <c r="P39">
        <v>0.17699999999999999</v>
      </c>
      <c r="Q39">
        <v>0.1857</v>
      </c>
      <c r="R39">
        <v>0.1928</v>
      </c>
      <c r="S39">
        <v>0.19589999999999999</v>
      </c>
      <c r="T39">
        <v>3.0999999999999999E-3</v>
      </c>
      <c r="U39">
        <v>0.216</v>
      </c>
    </row>
    <row r="40" spans="1:21" x14ac:dyDescent="0.25">
      <c r="A40" t="str">
        <f t="shared" si="0"/>
        <v>12-32 or 0.216-32 UNEF CLASS 2</v>
      </c>
      <c r="B40" s="6" t="s">
        <v>381</v>
      </c>
      <c r="C40" t="s">
        <v>337</v>
      </c>
      <c r="D40" t="s">
        <v>382</v>
      </c>
      <c r="E40" t="s">
        <v>383</v>
      </c>
      <c r="F40" t="s">
        <v>340</v>
      </c>
      <c r="G40">
        <v>1E-3</v>
      </c>
      <c r="H40">
        <v>0.215</v>
      </c>
      <c r="I40">
        <v>0.20899999999999999</v>
      </c>
      <c r="J40">
        <v>0</v>
      </c>
      <c r="K40">
        <v>0.19470000000000001</v>
      </c>
      <c r="L40">
        <v>0.1915</v>
      </c>
      <c r="M40">
        <v>3.1840000000000002E-3</v>
      </c>
      <c r="N40">
        <v>0.17780000000000001</v>
      </c>
      <c r="O40" t="s">
        <v>341</v>
      </c>
      <c r="P40">
        <v>0.182</v>
      </c>
      <c r="Q40">
        <v>0.19</v>
      </c>
      <c r="R40">
        <v>0.19570000000000001</v>
      </c>
      <c r="S40">
        <v>0.19980000000000001</v>
      </c>
      <c r="T40">
        <v>4.1000000000000003E-3</v>
      </c>
      <c r="U40">
        <v>0.216</v>
      </c>
    </row>
    <row r="41" spans="1:21" x14ac:dyDescent="0.25">
      <c r="A41" t="str">
        <f t="shared" si="0"/>
        <v>12-32 or 0.216-32 UNEF CLASS 3</v>
      </c>
      <c r="B41" s="6" t="s">
        <v>381</v>
      </c>
      <c r="C41" t="s">
        <v>337</v>
      </c>
      <c r="D41" t="s">
        <v>382</v>
      </c>
      <c r="E41" t="s">
        <v>383</v>
      </c>
      <c r="F41" t="s">
        <v>342</v>
      </c>
      <c r="G41">
        <v>0</v>
      </c>
      <c r="H41">
        <v>0.216</v>
      </c>
      <c r="I41">
        <v>0.21</v>
      </c>
      <c r="J41">
        <v>0</v>
      </c>
      <c r="K41">
        <v>0.19570000000000001</v>
      </c>
      <c r="L41">
        <v>0.1933</v>
      </c>
      <c r="M41">
        <v>2.3999999999999998E-3</v>
      </c>
      <c r="N41">
        <v>0.17879999999999999</v>
      </c>
      <c r="O41" t="s">
        <v>343</v>
      </c>
      <c r="P41">
        <v>0.182</v>
      </c>
      <c r="Q41">
        <v>0.1895</v>
      </c>
      <c r="R41">
        <v>0.19570000000000001</v>
      </c>
      <c r="S41">
        <v>0.1988</v>
      </c>
      <c r="T41">
        <v>3.0999999999999999E-3</v>
      </c>
      <c r="U41">
        <v>0.216</v>
      </c>
    </row>
    <row r="42" spans="1:21" x14ac:dyDescent="0.25">
      <c r="A42" t="str">
        <f t="shared" si="0"/>
        <v>1⁄4-20 or 0.2500-20 UNC CLASS 1</v>
      </c>
      <c r="B42" t="s">
        <v>384</v>
      </c>
      <c r="C42" t="s">
        <v>337</v>
      </c>
      <c r="D42" t="s">
        <v>385</v>
      </c>
      <c r="E42" t="s">
        <v>346</v>
      </c>
      <c r="F42" t="s">
        <v>386</v>
      </c>
      <c r="G42">
        <v>1.1000000000000001E-3</v>
      </c>
      <c r="H42">
        <v>0.24890000000000001</v>
      </c>
      <c r="I42">
        <v>0.23669999999999999</v>
      </c>
      <c r="J42">
        <v>0</v>
      </c>
      <c r="K42">
        <v>0.21640000000000001</v>
      </c>
      <c r="L42">
        <v>0.21079999999999999</v>
      </c>
      <c r="M42">
        <v>5.5999999999999999E-3</v>
      </c>
      <c r="N42">
        <v>0.18940000000000001</v>
      </c>
      <c r="O42" t="s">
        <v>387</v>
      </c>
      <c r="P42">
        <v>0.19600000000000001</v>
      </c>
      <c r="Q42">
        <v>0.20699999999999999</v>
      </c>
      <c r="R42">
        <v>0.2175</v>
      </c>
      <c r="S42">
        <v>0.2248</v>
      </c>
      <c r="T42">
        <v>7.3000000000000001E-3</v>
      </c>
      <c r="U42">
        <v>0.25</v>
      </c>
    </row>
    <row r="43" spans="1:21" x14ac:dyDescent="0.25">
      <c r="A43" t="str">
        <f t="shared" si="0"/>
        <v>1⁄4-20 or 0.2500-20 UNC CLASS 2</v>
      </c>
      <c r="B43" t="s">
        <v>384</v>
      </c>
      <c r="C43" t="s">
        <v>337</v>
      </c>
      <c r="D43" t="s">
        <v>385</v>
      </c>
      <c r="E43" t="s">
        <v>346</v>
      </c>
      <c r="F43" t="s">
        <v>340</v>
      </c>
      <c r="G43">
        <v>1.1000000000000001E-3</v>
      </c>
      <c r="H43">
        <v>0.24890000000000001</v>
      </c>
      <c r="I43">
        <v>0.24079999999999999</v>
      </c>
      <c r="J43">
        <v>0.23669999999999999</v>
      </c>
      <c r="K43">
        <v>0.21640000000000001</v>
      </c>
      <c r="L43">
        <v>0.2127</v>
      </c>
      <c r="M43">
        <v>3.7309999999999999E-3</v>
      </c>
      <c r="N43">
        <v>0.18940000000000001</v>
      </c>
      <c r="O43" t="s">
        <v>341</v>
      </c>
      <c r="P43">
        <v>0.19600000000000001</v>
      </c>
      <c r="Q43">
        <v>0.20699999999999999</v>
      </c>
      <c r="R43">
        <v>0.2175</v>
      </c>
      <c r="S43">
        <v>0.22239999999999999</v>
      </c>
      <c r="T43">
        <v>4.8999999999999998E-3</v>
      </c>
      <c r="U43">
        <v>0.25</v>
      </c>
    </row>
    <row r="44" spans="1:21" x14ac:dyDescent="0.25">
      <c r="A44" t="str">
        <f t="shared" si="0"/>
        <v>1⁄4-20 or 0.2500-20 UNC CLASS 3</v>
      </c>
      <c r="B44" t="s">
        <v>384</v>
      </c>
      <c r="C44" t="s">
        <v>337</v>
      </c>
      <c r="D44" t="s">
        <v>385</v>
      </c>
      <c r="E44" t="s">
        <v>346</v>
      </c>
      <c r="F44" t="s">
        <v>342</v>
      </c>
      <c r="G44">
        <v>0</v>
      </c>
      <c r="H44">
        <v>0.25</v>
      </c>
      <c r="I44">
        <v>0.2419</v>
      </c>
      <c r="J44">
        <v>0</v>
      </c>
      <c r="K44">
        <v>0.2175</v>
      </c>
      <c r="L44">
        <v>0.2147</v>
      </c>
      <c r="M44">
        <v>2.8E-3</v>
      </c>
      <c r="N44">
        <v>0.1905</v>
      </c>
      <c r="O44" t="s">
        <v>343</v>
      </c>
      <c r="P44">
        <v>0.19600000000000001</v>
      </c>
      <c r="Q44">
        <v>0.20669999999999999</v>
      </c>
      <c r="R44">
        <v>0.2175</v>
      </c>
      <c r="S44">
        <v>0.22109999999999999</v>
      </c>
      <c r="T44">
        <v>3.5999999999999999E-3</v>
      </c>
      <c r="U44">
        <v>0.25</v>
      </c>
    </row>
    <row r="45" spans="1:21" x14ac:dyDescent="0.25">
      <c r="A45" t="str">
        <f t="shared" si="0"/>
        <v>1⁄4-28 or 0.2500-28 UNF CLASS 1</v>
      </c>
      <c r="B45" t="s">
        <v>388</v>
      </c>
      <c r="C45" t="s">
        <v>337</v>
      </c>
      <c r="D45" t="s">
        <v>389</v>
      </c>
      <c r="E45" t="s">
        <v>339</v>
      </c>
      <c r="F45" t="s">
        <v>386</v>
      </c>
      <c r="G45">
        <v>1E-3</v>
      </c>
      <c r="H45">
        <v>0.249</v>
      </c>
      <c r="I45">
        <v>0.2392</v>
      </c>
      <c r="J45">
        <v>0</v>
      </c>
      <c r="K45">
        <v>0.2258</v>
      </c>
      <c r="L45">
        <v>0.2208</v>
      </c>
      <c r="M45">
        <v>5.0000000000000001E-3</v>
      </c>
      <c r="N45">
        <v>0.20649999999999999</v>
      </c>
      <c r="O45" t="s">
        <v>387</v>
      </c>
      <c r="P45">
        <v>0.21099999999999999</v>
      </c>
      <c r="Q45">
        <v>0.22</v>
      </c>
      <c r="R45">
        <v>0.2268</v>
      </c>
      <c r="S45">
        <v>0.23330000000000001</v>
      </c>
      <c r="T45">
        <v>6.4999999999999997E-3</v>
      </c>
      <c r="U45">
        <v>0.25</v>
      </c>
    </row>
    <row r="46" spans="1:21" x14ac:dyDescent="0.25">
      <c r="A46" t="str">
        <f t="shared" si="0"/>
        <v>1⁄4-28 or 0.2500-28 UNF CLASS 2</v>
      </c>
      <c r="B46" t="s">
        <v>388</v>
      </c>
      <c r="C46" t="s">
        <v>337</v>
      </c>
      <c r="D46" t="s">
        <v>389</v>
      </c>
      <c r="E46" t="s">
        <v>339</v>
      </c>
      <c r="F46" t="s">
        <v>340</v>
      </c>
      <c r="G46">
        <v>1E-3</v>
      </c>
      <c r="H46">
        <v>0.249</v>
      </c>
      <c r="I46">
        <v>0.24249999999999999</v>
      </c>
      <c r="J46">
        <v>0</v>
      </c>
      <c r="K46">
        <v>0.2258</v>
      </c>
      <c r="L46">
        <v>0.2225</v>
      </c>
      <c r="M46">
        <v>3.3219999999999999E-3</v>
      </c>
      <c r="N46">
        <v>0.20649999999999999</v>
      </c>
      <c r="O46" t="s">
        <v>341</v>
      </c>
      <c r="P46">
        <v>0.21099999999999999</v>
      </c>
      <c r="Q46">
        <v>0.22</v>
      </c>
      <c r="R46">
        <v>0.2268</v>
      </c>
      <c r="S46">
        <v>0.2311</v>
      </c>
      <c r="T46">
        <v>4.3E-3</v>
      </c>
      <c r="U46">
        <v>0.25</v>
      </c>
    </row>
    <row r="47" spans="1:21" x14ac:dyDescent="0.25">
      <c r="A47" t="str">
        <f t="shared" si="0"/>
        <v>1⁄4-28 or 0.2500-28 UNF CLASS 3</v>
      </c>
      <c r="B47" t="s">
        <v>388</v>
      </c>
      <c r="C47" t="s">
        <v>337</v>
      </c>
      <c r="D47" t="s">
        <v>389</v>
      </c>
      <c r="E47" t="s">
        <v>339</v>
      </c>
      <c r="F47" t="s">
        <v>342</v>
      </c>
      <c r="G47">
        <v>0</v>
      </c>
      <c r="H47">
        <v>0.25</v>
      </c>
      <c r="I47">
        <v>0.24349999999999999</v>
      </c>
      <c r="J47">
        <v>0</v>
      </c>
      <c r="K47">
        <v>0.2268</v>
      </c>
      <c r="L47">
        <v>0.2243</v>
      </c>
      <c r="M47">
        <v>2.5000000000000001E-3</v>
      </c>
      <c r="N47">
        <v>0.20749999999999999</v>
      </c>
      <c r="O47" t="s">
        <v>343</v>
      </c>
      <c r="P47">
        <v>0.21099999999999999</v>
      </c>
      <c r="Q47">
        <v>0.219</v>
      </c>
      <c r="R47">
        <v>0.2268</v>
      </c>
      <c r="S47">
        <v>0.23</v>
      </c>
      <c r="T47">
        <v>3.2000000000000002E-3</v>
      </c>
      <c r="U47">
        <v>0.25</v>
      </c>
    </row>
    <row r="48" spans="1:21" x14ac:dyDescent="0.25">
      <c r="A48" t="str">
        <f t="shared" si="0"/>
        <v>1⁄4-32 or 0.2500-32 UNEF CLASS 2</v>
      </c>
      <c r="B48" t="s">
        <v>390</v>
      </c>
      <c r="C48" t="s">
        <v>337</v>
      </c>
      <c r="D48" t="s">
        <v>391</v>
      </c>
      <c r="E48" t="s">
        <v>383</v>
      </c>
      <c r="F48" t="s">
        <v>340</v>
      </c>
      <c r="G48">
        <v>1E-3</v>
      </c>
      <c r="H48">
        <v>0.249</v>
      </c>
      <c r="I48">
        <v>0.24299999999999999</v>
      </c>
      <c r="J48">
        <v>0</v>
      </c>
      <c r="K48">
        <v>0.22869999999999999</v>
      </c>
      <c r="L48">
        <v>0.22550000000000001</v>
      </c>
      <c r="M48">
        <v>3.2290000000000001E-3</v>
      </c>
      <c r="N48">
        <v>0.21179999999999999</v>
      </c>
      <c r="O48" t="s">
        <v>341</v>
      </c>
      <c r="P48">
        <v>0.216</v>
      </c>
      <c r="Q48">
        <v>0.224</v>
      </c>
      <c r="R48">
        <v>0.22969999999999999</v>
      </c>
      <c r="S48">
        <v>0.2339</v>
      </c>
      <c r="T48">
        <v>4.1999999999999997E-3</v>
      </c>
      <c r="U48">
        <v>0.25</v>
      </c>
    </row>
    <row r="49" spans="1:21" x14ac:dyDescent="0.25">
      <c r="A49" t="str">
        <f t="shared" si="0"/>
        <v>1⁄4-32 or 0.2500-32 UNEF CLASS 3</v>
      </c>
      <c r="B49" t="s">
        <v>390</v>
      </c>
      <c r="C49" t="s">
        <v>337</v>
      </c>
      <c r="D49" t="s">
        <v>391</v>
      </c>
      <c r="E49" t="s">
        <v>383</v>
      </c>
      <c r="F49" t="s">
        <v>342</v>
      </c>
      <c r="G49">
        <v>0</v>
      </c>
      <c r="H49">
        <v>0.25</v>
      </c>
      <c r="I49">
        <v>0.24399999999999999</v>
      </c>
      <c r="J49">
        <v>0</v>
      </c>
      <c r="K49">
        <v>0.22969999999999999</v>
      </c>
      <c r="L49">
        <v>0.2273</v>
      </c>
      <c r="M49">
        <v>2.3999999999999998E-3</v>
      </c>
      <c r="N49">
        <v>0.21279999999999999</v>
      </c>
      <c r="O49" t="s">
        <v>343</v>
      </c>
      <c r="P49">
        <v>0.216</v>
      </c>
      <c r="Q49">
        <v>0.22289999999999999</v>
      </c>
      <c r="R49">
        <v>0.22969999999999999</v>
      </c>
      <c r="S49">
        <v>0.23280000000000001</v>
      </c>
      <c r="T49">
        <v>3.0999999999999999E-3</v>
      </c>
      <c r="U49">
        <v>0.25</v>
      </c>
    </row>
    <row r="50" spans="1:21" x14ac:dyDescent="0.25">
      <c r="A50" t="str">
        <f t="shared" si="0"/>
        <v>5⁄16-18 or 0.3125-18 UNC CLASS 1</v>
      </c>
      <c r="B50" t="s">
        <v>392</v>
      </c>
      <c r="C50" t="s">
        <v>337</v>
      </c>
      <c r="D50" t="s">
        <v>393</v>
      </c>
      <c r="E50" t="s">
        <v>346</v>
      </c>
      <c r="F50" t="s">
        <v>386</v>
      </c>
      <c r="G50">
        <v>1.1999999999999999E-3</v>
      </c>
      <c r="H50">
        <v>0.31130000000000002</v>
      </c>
      <c r="I50">
        <v>0.29820000000000002</v>
      </c>
      <c r="J50">
        <v>0</v>
      </c>
      <c r="K50">
        <v>0.2752</v>
      </c>
      <c r="L50">
        <v>0.26910000000000001</v>
      </c>
      <c r="M50">
        <v>6.1000000000000004E-3</v>
      </c>
      <c r="N50">
        <v>0.24510000000000001</v>
      </c>
      <c r="O50" t="s">
        <v>387</v>
      </c>
      <c r="P50">
        <v>0.252</v>
      </c>
      <c r="Q50">
        <v>0.26500000000000001</v>
      </c>
      <c r="R50">
        <v>0.27639999999999998</v>
      </c>
      <c r="S50">
        <v>0.2843</v>
      </c>
      <c r="T50">
        <v>7.9000000000000008E-3</v>
      </c>
      <c r="U50">
        <v>0.3125</v>
      </c>
    </row>
    <row r="51" spans="1:21" x14ac:dyDescent="0.25">
      <c r="A51" t="str">
        <f t="shared" si="0"/>
        <v>5⁄16-18 or 0.3125-18 UNC CLASS 2</v>
      </c>
      <c r="B51" t="s">
        <v>392</v>
      </c>
      <c r="C51" t="s">
        <v>337</v>
      </c>
      <c r="D51" t="s">
        <v>393</v>
      </c>
      <c r="E51" t="s">
        <v>346</v>
      </c>
      <c r="F51" t="s">
        <v>340</v>
      </c>
      <c r="G51">
        <v>1.1999999999999999E-3</v>
      </c>
      <c r="H51">
        <v>0.31130000000000002</v>
      </c>
      <c r="I51">
        <v>0.30259999999999998</v>
      </c>
      <c r="J51">
        <v>0.29820000000000002</v>
      </c>
      <c r="K51">
        <v>0.2752</v>
      </c>
      <c r="L51">
        <v>0.2712</v>
      </c>
      <c r="M51">
        <v>4.0410000000000003E-3</v>
      </c>
      <c r="N51">
        <v>0.24510000000000001</v>
      </c>
      <c r="O51" t="s">
        <v>341</v>
      </c>
      <c r="P51">
        <v>0.252</v>
      </c>
      <c r="Q51">
        <v>0.26500000000000001</v>
      </c>
      <c r="R51">
        <v>0.27639999999999998</v>
      </c>
      <c r="S51">
        <v>0.28170000000000001</v>
      </c>
      <c r="T51">
        <v>5.3E-3</v>
      </c>
      <c r="U51">
        <v>0.3125</v>
      </c>
    </row>
    <row r="52" spans="1:21" x14ac:dyDescent="0.25">
      <c r="A52" t="str">
        <f t="shared" si="0"/>
        <v>5⁄16-18 or 0.3125-18 UNC CLASS 3</v>
      </c>
      <c r="B52" t="s">
        <v>392</v>
      </c>
      <c r="C52" t="s">
        <v>337</v>
      </c>
      <c r="D52" t="s">
        <v>393</v>
      </c>
      <c r="E52" t="s">
        <v>346</v>
      </c>
      <c r="F52" t="s">
        <v>342</v>
      </c>
      <c r="G52">
        <v>0</v>
      </c>
      <c r="H52">
        <v>0.3125</v>
      </c>
      <c r="I52">
        <v>0.30380000000000001</v>
      </c>
      <c r="J52">
        <v>0</v>
      </c>
      <c r="K52">
        <v>0.27639999999999998</v>
      </c>
      <c r="L52">
        <v>0.27339999999999998</v>
      </c>
      <c r="M52">
        <v>3.0000000000000001E-3</v>
      </c>
      <c r="N52">
        <v>0.24629999999999999</v>
      </c>
      <c r="O52" t="s">
        <v>343</v>
      </c>
      <c r="P52">
        <v>0.252</v>
      </c>
      <c r="Q52">
        <v>0.26300000000000001</v>
      </c>
      <c r="R52">
        <v>0.27639999999999998</v>
      </c>
      <c r="S52">
        <v>0.28029999999999999</v>
      </c>
      <c r="T52">
        <v>3.8999999999999998E-3</v>
      </c>
      <c r="U52">
        <v>0.3125</v>
      </c>
    </row>
    <row r="53" spans="1:21" x14ac:dyDescent="0.25">
      <c r="A53" t="str">
        <f t="shared" si="0"/>
        <v>5⁄16-20 or 0.3125-20 UN CLASS 2</v>
      </c>
      <c r="B53" t="s">
        <v>394</v>
      </c>
      <c r="C53" t="s">
        <v>337</v>
      </c>
      <c r="D53" t="s">
        <v>395</v>
      </c>
      <c r="E53" t="s">
        <v>396</v>
      </c>
      <c r="F53" t="s">
        <v>340</v>
      </c>
      <c r="G53">
        <v>1.1999999999999999E-3</v>
      </c>
      <c r="H53">
        <v>0.31130000000000002</v>
      </c>
      <c r="I53">
        <v>0.30320000000000003</v>
      </c>
      <c r="J53">
        <v>0</v>
      </c>
      <c r="K53">
        <v>0.27879999999999999</v>
      </c>
      <c r="L53">
        <v>0.2747</v>
      </c>
      <c r="M53">
        <v>4.0600000000000002E-3</v>
      </c>
      <c r="N53">
        <v>0.25180000000000002</v>
      </c>
      <c r="O53" t="s">
        <v>341</v>
      </c>
      <c r="P53">
        <v>0.25800000000000001</v>
      </c>
      <c r="Q53">
        <v>0.27</v>
      </c>
      <c r="R53">
        <v>0.28000000000000003</v>
      </c>
      <c r="S53">
        <v>0.2853</v>
      </c>
      <c r="T53">
        <v>5.3E-3</v>
      </c>
      <c r="U53">
        <v>0.3125</v>
      </c>
    </row>
    <row r="54" spans="1:21" x14ac:dyDescent="0.25">
      <c r="A54" t="str">
        <f t="shared" si="0"/>
        <v>5⁄16-20 or 0.3125-20 UN CLASS 3</v>
      </c>
      <c r="B54" t="s">
        <v>394</v>
      </c>
      <c r="C54" t="s">
        <v>337</v>
      </c>
      <c r="D54" t="s">
        <v>395</v>
      </c>
      <c r="E54" t="s">
        <v>396</v>
      </c>
      <c r="F54" t="s">
        <v>342</v>
      </c>
      <c r="G54">
        <v>0</v>
      </c>
      <c r="H54">
        <v>0.3125</v>
      </c>
      <c r="I54">
        <v>0.3044</v>
      </c>
      <c r="J54">
        <v>0</v>
      </c>
      <c r="K54">
        <v>0.28000000000000003</v>
      </c>
      <c r="L54">
        <v>0.27700000000000002</v>
      </c>
      <c r="M54">
        <v>3.0000000000000001E-3</v>
      </c>
      <c r="N54">
        <v>0.253</v>
      </c>
      <c r="O54" t="s">
        <v>343</v>
      </c>
      <c r="P54">
        <v>0.25800000000000001</v>
      </c>
      <c r="Q54">
        <v>0.26800000000000002</v>
      </c>
      <c r="R54">
        <v>0.28000000000000003</v>
      </c>
      <c r="S54">
        <v>0.28399999999999997</v>
      </c>
      <c r="T54">
        <v>4.0000000000000001E-3</v>
      </c>
      <c r="U54">
        <v>0.3125</v>
      </c>
    </row>
    <row r="55" spans="1:21" x14ac:dyDescent="0.25">
      <c r="A55" t="str">
        <f t="shared" si="0"/>
        <v>5⁄16-24 or 0.3125-24 UNF CLASS 1</v>
      </c>
      <c r="B55" t="s">
        <v>397</v>
      </c>
      <c r="C55" t="s">
        <v>337</v>
      </c>
      <c r="D55" t="s">
        <v>398</v>
      </c>
      <c r="E55" t="s">
        <v>339</v>
      </c>
      <c r="F55" t="s">
        <v>386</v>
      </c>
      <c r="G55">
        <v>1.1000000000000001E-3</v>
      </c>
      <c r="H55">
        <v>0.31140000000000001</v>
      </c>
      <c r="I55">
        <v>0.30059999999999998</v>
      </c>
      <c r="J55">
        <v>0</v>
      </c>
      <c r="K55">
        <v>0.2843</v>
      </c>
      <c r="L55">
        <v>0.27879999999999999</v>
      </c>
      <c r="M55">
        <v>5.4999999999999997E-3</v>
      </c>
      <c r="N55">
        <v>0.26179999999999998</v>
      </c>
      <c r="O55" t="s">
        <v>387</v>
      </c>
      <c r="P55">
        <v>0.26700000000000002</v>
      </c>
      <c r="Q55">
        <v>0.27700000000000002</v>
      </c>
      <c r="R55">
        <v>0.28539999999999999</v>
      </c>
      <c r="S55">
        <v>0.29249999999999998</v>
      </c>
      <c r="T55">
        <v>7.1000000000000004E-3</v>
      </c>
      <c r="U55">
        <v>0.3125</v>
      </c>
    </row>
    <row r="56" spans="1:21" x14ac:dyDescent="0.25">
      <c r="A56" t="str">
        <f t="shared" si="0"/>
        <v>5⁄16-24 or 0.3125-24 UNF CLASS 2</v>
      </c>
      <c r="B56" t="s">
        <v>397</v>
      </c>
      <c r="C56" t="s">
        <v>337</v>
      </c>
      <c r="D56" t="s">
        <v>398</v>
      </c>
      <c r="E56" t="s">
        <v>339</v>
      </c>
      <c r="F56" t="s">
        <v>340</v>
      </c>
      <c r="G56">
        <v>1.1000000000000001E-3</v>
      </c>
      <c r="H56">
        <v>0.31140000000000001</v>
      </c>
      <c r="I56">
        <v>0.30420000000000003</v>
      </c>
      <c r="J56">
        <v>0</v>
      </c>
      <c r="K56">
        <v>0.2843</v>
      </c>
      <c r="L56">
        <v>0.28060000000000002</v>
      </c>
      <c r="M56">
        <v>3.6600000000000001E-3</v>
      </c>
      <c r="N56">
        <v>0.26179999999999998</v>
      </c>
      <c r="O56" t="s">
        <v>341</v>
      </c>
      <c r="P56">
        <v>0.26700000000000002</v>
      </c>
      <c r="Q56">
        <v>0.27700000000000002</v>
      </c>
      <c r="R56">
        <v>0.28539999999999999</v>
      </c>
      <c r="S56">
        <v>0.29020000000000001</v>
      </c>
      <c r="T56">
        <v>4.7999999999999996E-3</v>
      </c>
      <c r="U56">
        <v>0.3125</v>
      </c>
    </row>
    <row r="57" spans="1:21" x14ac:dyDescent="0.25">
      <c r="A57" t="str">
        <f t="shared" si="0"/>
        <v>5⁄16-24 or 0.3125-24 UNF CLASS 3</v>
      </c>
      <c r="B57" t="s">
        <v>397</v>
      </c>
      <c r="C57" t="s">
        <v>337</v>
      </c>
      <c r="D57" t="s">
        <v>398</v>
      </c>
      <c r="E57" t="s">
        <v>339</v>
      </c>
      <c r="F57" t="s">
        <v>342</v>
      </c>
      <c r="G57">
        <v>0</v>
      </c>
      <c r="H57">
        <v>0.3125</v>
      </c>
      <c r="I57">
        <v>0.30530000000000002</v>
      </c>
      <c r="J57">
        <v>0</v>
      </c>
      <c r="K57">
        <v>0.28539999999999999</v>
      </c>
      <c r="L57">
        <v>0.28270000000000001</v>
      </c>
      <c r="M57">
        <v>2.7000000000000001E-3</v>
      </c>
      <c r="N57">
        <v>0.26290000000000002</v>
      </c>
      <c r="O57" t="s">
        <v>343</v>
      </c>
      <c r="P57">
        <v>0.26700000000000002</v>
      </c>
      <c r="Q57">
        <v>0.27539999999999998</v>
      </c>
      <c r="R57">
        <v>0.28539999999999999</v>
      </c>
      <c r="S57">
        <v>0.28899999999999998</v>
      </c>
      <c r="T57">
        <v>3.5999999999999999E-3</v>
      </c>
      <c r="U57">
        <v>0.3125</v>
      </c>
    </row>
    <row r="58" spans="1:21" x14ac:dyDescent="0.25">
      <c r="A58" t="str">
        <f t="shared" si="0"/>
        <v>5⁄16-28 or 0.3125-28 UN CLASS 2</v>
      </c>
      <c r="B58" t="s">
        <v>399</v>
      </c>
      <c r="C58" t="s">
        <v>337</v>
      </c>
      <c r="D58" t="s">
        <v>400</v>
      </c>
      <c r="E58" t="s">
        <v>396</v>
      </c>
      <c r="F58" t="s">
        <v>340</v>
      </c>
      <c r="G58">
        <v>1E-3</v>
      </c>
      <c r="H58">
        <v>0.3115</v>
      </c>
      <c r="I58">
        <v>0.30499999999999999</v>
      </c>
      <c r="J58">
        <v>0</v>
      </c>
      <c r="K58">
        <v>0.2883</v>
      </c>
      <c r="L58">
        <v>0.2848</v>
      </c>
      <c r="M58">
        <v>3.4949999999999998E-3</v>
      </c>
      <c r="N58">
        <v>0.26900000000000002</v>
      </c>
      <c r="O58" t="s">
        <v>341</v>
      </c>
      <c r="P58">
        <v>0.27400000000000002</v>
      </c>
      <c r="Q58">
        <v>0.28199999999999997</v>
      </c>
      <c r="R58">
        <v>0.2893</v>
      </c>
      <c r="S58">
        <v>0.29380000000000001</v>
      </c>
      <c r="T58">
        <v>4.4999999999999997E-3</v>
      </c>
      <c r="U58">
        <v>0.3125</v>
      </c>
    </row>
    <row r="59" spans="1:21" x14ac:dyDescent="0.25">
      <c r="A59" t="str">
        <f t="shared" si="0"/>
        <v>5⁄16-28 or 0.3125-28 UN CLASS 3</v>
      </c>
      <c r="B59" t="s">
        <v>399</v>
      </c>
      <c r="C59" t="s">
        <v>337</v>
      </c>
      <c r="D59" t="s">
        <v>400</v>
      </c>
      <c r="E59" t="s">
        <v>396</v>
      </c>
      <c r="F59" t="s">
        <v>342</v>
      </c>
      <c r="G59">
        <v>0</v>
      </c>
      <c r="H59">
        <v>0.3125</v>
      </c>
      <c r="I59">
        <v>0.30599999999999999</v>
      </c>
      <c r="J59">
        <v>0</v>
      </c>
      <c r="K59">
        <v>0.2893</v>
      </c>
      <c r="L59">
        <v>0.28670000000000001</v>
      </c>
      <c r="M59">
        <v>2.5999999999999999E-3</v>
      </c>
      <c r="N59">
        <v>0.27</v>
      </c>
      <c r="O59" t="s">
        <v>343</v>
      </c>
      <c r="P59">
        <v>0.27400000000000002</v>
      </c>
      <c r="Q59">
        <v>0.28070000000000001</v>
      </c>
      <c r="R59">
        <v>0.2893</v>
      </c>
      <c r="S59">
        <v>0.29270000000000002</v>
      </c>
      <c r="T59">
        <v>3.3999999999999998E-3</v>
      </c>
      <c r="U59">
        <v>0.3125</v>
      </c>
    </row>
    <row r="60" spans="1:21" x14ac:dyDescent="0.25">
      <c r="A60" t="str">
        <f t="shared" si="0"/>
        <v>5⁄16-32 or 0.3125-32 UNEF CLASS 2</v>
      </c>
      <c r="B60" t="s">
        <v>401</v>
      </c>
      <c r="C60" t="s">
        <v>337</v>
      </c>
      <c r="D60" t="s">
        <v>402</v>
      </c>
      <c r="E60" t="s">
        <v>383</v>
      </c>
      <c r="F60" t="s">
        <v>340</v>
      </c>
      <c r="G60">
        <v>1E-3</v>
      </c>
      <c r="H60">
        <v>0.3115</v>
      </c>
      <c r="I60">
        <v>0.30549999999999999</v>
      </c>
      <c r="J60">
        <v>0</v>
      </c>
      <c r="K60">
        <v>0.29120000000000001</v>
      </c>
      <c r="L60">
        <v>0.28789999999999999</v>
      </c>
      <c r="M60">
        <v>3.3019999999999998E-3</v>
      </c>
      <c r="N60">
        <v>0.27429999999999999</v>
      </c>
      <c r="O60" t="s">
        <v>341</v>
      </c>
      <c r="P60">
        <v>0.27900000000000003</v>
      </c>
      <c r="Q60">
        <v>0.28599999999999998</v>
      </c>
      <c r="R60">
        <v>0.29220000000000002</v>
      </c>
      <c r="S60">
        <v>0.29649999999999999</v>
      </c>
      <c r="T60">
        <v>4.3E-3</v>
      </c>
      <c r="U60">
        <v>0.3125</v>
      </c>
    </row>
    <row r="61" spans="1:21" x14ac:dyDescent="0.25">
      <c r="A61" t="str">
        <f t="shared" si="0"/>
        <v>5⁄16-32 or 0.3125-32 UNEF CLASS 3</v>
      </c>
      <c r="B61" t="s">
        <v>401</v>
      </c>
      <c r="C61" t="s">
        <v>337</v>
      </c>
      <c r="D61" t="s">
        <v>402</v>
      </c>
      <c r="E61" t="s">
        <v>383</v>
      </c>
      <c r="F61" t="s">
        <v>342</v>
      </c>
      <c r="G61">
        <v>0</v>
      </c>
      <c r="H61">
        <v>0.3125</v>
      </c>
      <c r="I61">
        <v>0.30649999999999999</v>
      </c>
      <c r="J61">
        <v>0</v>
      </c>
      <c r="K61">
        <v>0.29220000000000002</v>
      </c>
      <c r="L61">
        <v>0.28970000000000001</v>
      </c>
      <c r="M61">
        <v>2.5000000000000001E-3</v>
      </c>
      <c r="N61">
        <v>0.27529999999999999</v>
      </c>
      <c r="O61" t="s">
        <v>343</v>
      </c>
      <c r="P61">
        <v>0.27900000000000003</v>
      </c>
      <c r="Q61">
        <v>0.28460000000000002</v>
      </c>
      <c r="R61">
        <v>0.29220000000000002</v>
      </c>
      <c r="S61">
        <v>0.2954</v>
      </c>
      <c r="T61">
        <v>3.2000000000000002E-3</v>
      </c>
      <c r="U61">
        <v>0.3125</v>
      </c>
    </row>
    <row r="62" spans="1:21" x14ac:dyDescent="0.25">
      <c r="A62" t="str">
        <f t="shared" si="0"/>
        <v>3⁄8-16 or 0.3750-16 UNC CLASS 1</v>
      </c>
      <c r="B62" t="s">
        <v>403</v>
      </c>
      <c r="C62" t="s">
        <v>337</v>
      </c>
      <c r="D62" t="s">
        <v>404</v>
      </c>
      <c r="E62" t="s">
        <v>346</v>
      </c>
      <c r="F62" t="s">
        <v>386</v>
      </c>
      <c r="G62">
        <v>1.2999999999999999E-3</v>
      </c>
      <c r="H62">
        <v>0.37369999999999998</v>
      </c>
      <c r="I62">
        <v>0.35949999999999999</v>
      </c>
      <c r="J62">
        <v>0</v>
      </c>
      <c r="K62">
        <v>0.33310000000000001</v>
      </c>
      <c r="L62">
        <v>0.3266</v>
      </c>
      <c r="M62">
        <v>6.4999999999999997E-3</v>
      </c>
      <c r="N62">
        <v>0.29930000000000001</v>
      </c>
      <c r="O62" t="s">
        <v>387</v>
      </c>
      <c r="P62">
        <v>0.307</v>
      </c>
      <c r="Q62">
        <v>0.32100000000000001</v>
      </c>
      <c r="R62">
        <v>0.33439999999999998</v>
      </c>
      <c r="S62">
        <v>0.34289999999999998</v>
      </c>
      <c r="T62">
        <v>8.5000000000000006E-3</v>
      </c>
      <c r="U62">
        <v>0.375</v>
      </c>
    </row>
    <row r="63" spans="1:21" x14ac:dyDescent="0.25">
      <c r="A63" t="str">
        <f t="shared" si="0"/>
        <v>3⁄8-16 or 0.3750-16 UNC CLASS 2</v>
      </c>
      <c r="B63" t="s">
        <v>403</v>
      </c>
      <c r="C63" t="s">
        <v>337</v>
      </c>
      <c r="D63" t="s">
        <v>404</v>
      </c>
      <c r="E63" t="s">
        <v>346</v>
      </c>
      <c r="F63" t="s">
        <v>340</v>
      </c>
      <c r="G63">
        <v>1.2999999999999999E-3</v>
      </c>
      <c r="H63">
        <v>0.37369999999999998</v>
      </c>
      <c r="I63">
        <v>0.36430000000000001</v>
      </c>
      <c r="J63">
        <v>0.35949999999999999</v>
      </c>
      <c r="K63">
        <v>0.33310000000000001</v>
      </c>
      <c r="L63">
        <v>0.32869999999999999</v>
      </c>
      <c r="M63">
        <v>4.3629999999999997E-3</v>
      </c>
      <c r="N63">
        <v>0.29930000000000001</v>
      </c>
      <c r="O63" t="s">
        <v>341</v>
      </c>
      <c r="P63">
        <v>0.307</v>
      </c>
      <c r="Q63">
        <v>0.32100000000000001</v>
      </c>
      <c r="R63">
        <v>0.33439999999999998</v>
      </c>
      <c r="S63">
        <v>0.34010000000000001</v>
      </c>
      <c r="T63">
        <v>5.7000000000000002E-3</v>
      </c>
      <c r="U63">
        <v>0.375</v>
      </c>
    </row>
    <row r="64" spans="1:21" x14ac:dyDescent="0.25">
      <c r="A64" t="str">
        <f t="shared" si="0"/>
        <v>3⁄8-16 or 0.3750-16 UNC CLASS 3</v>
      </c>
      <c r="B64" t="s">
        <v>403</v>
      </c>
      <c r="C64" t="s">
        <v>337</v>
      </c>
      <c r="D64" t="s">
        <v>404</v>
      </c>
      <c r="E64" t="s">
        <v>346</v>
      </c>
      <c r="F64" t="s">
        <v>342</v>
      </c>
      <c r="G64">
        <v>0</v>
      </c>
      <c r="H64">
        <v>0.375</v>
      </c>
      <c r="I64">
        <v>0.36559999999999998</v>
      </c>
      <c r="J64">
        <v>0</v>
      </c>
      <c r="K64">
        <v>0.33439999999999998</v>
      </c>
      <c r="L64">
        <v>0.33110000000000001</v>
      </c>
      <c r="M64">
        <v>3.3E-3</v>
      </c>
      <c r="N64">
        <v>0.30059999999999998</v>
      </c>
      <c r="O64" t="s">
        <v>343</v>
      </c>
      <c r="P64">
        <v>0.307</v>
      </c>
      <c r="Q64">
        <v>0.31819999999999998</v>
      </c>
      <c r="R64">
        <v>0.33439999999999998</v>
      </c>
      <c r="S64">
        <v>0.3387</v>
      </c>
      <c r="T64">
        <v>4.3E-3</v>
      </c>
      <c r="U64">
        <v>0.375</v>
      </c>
    </row>
    <row r="65" spans="1:21" x14ac:dyDescent="0.25">
      <c r="A65" t="str">
        <f t="shared" si="0"/>
        <v>3⁄8-20 or 0.3750-20 UN CLASS 2</v>
      </c>
      <c r="B65" t="s">
        <v>405</v>
      </c>
      <c r="C65" t="s">
        <v>337</v>
      </c>
      <c r="D65" t="s">
        <v>406</v>
      </c>
      <c r="E65" t="s">
        <v>396</v>
      </c>
      <c r="F65" t="s">
        <v>340</v>
      </c>
      <c r="G65">
        <v>1.1999999999999999E-3</v>
      </c>
      <c r="H65">
        <v>0.37380000000000002</v>
      </c>
      <c r="I65">
        <v>0.36570000000000003</v>
      </c>
      <c r="J65">
        <v>0</v>
      </c>
      <c r="K65">
        <v>0.34129999999999999</v>
      </c>
      <c r="L65">
        <v>0.3372</v>
      </c>
      <c r="M65">
        <v>4.1240000000000001E-3</v>
      </c>
      <c r="N65">
        <v>0.31430000000000002</v>
      </c>
      <c r="O65" t="s">
        <v>341</v>
      </c>
      <c r="P65">
        <v>0.32100000000000001</v>
      </c>
      <c r="Q65">
        <v>0.33200000000000002</v>
      </c>
      <c r="R65">
        <v>0.34250000000000003</v>
      </c>
      <c r="S65">
        <v>0.34789999999999999</v>
      </c>
      <c r="T65">
        <v>5.4000000000000003E-3</v>
      </c>
      <c r="U65">
        <v>0.375</v>
      </c>
    </row>
    <row r="66" spans="1:21" x14ac:dyDescent="0.25">
      <c r="A66" t="str">
        <f t="shared" si="0"/>
        <v>3⁄8-20 or 0.3750-20 UN CLASS 3</v>
      </c>
      <c r="B66" t="s">
        <v>405</v>
      </c>
      <c r="C66" t="s">
        <v>337</v>
      </c>
      <c r="D66" t="s">
        <v>406</v>
      </c>
      <c r="E66" t="s">
        <v>396</v>
      </c>
      <c r="F66" t="s">
        <v>342</v>
      </c>
      <c r="G66">
        <v>0</v>
      </c>
      <c r="H66">
        <v>0.375</v>
      </c>
      <c r="I66">
        <v>0.3669</v>
      </c>
      <c r="J66">
        <v>0</v>
      </c>
      <c r="K66">
        <v>0.34250000000000003</v>
      </c>
      <c r="L66">
        <v>0.33939999999999998</v>
      </c>
      <c r="M66">
        <v>3.0999999999999999E-3</v>
      </c>
      <c r="N66">
        <v>0.3155</v>
      </c>
      <c r="O66" t="s">
        <v>343</v>
      </c>
      <c r="P66">
        <v>0.32100000000000001</v>
      </c>
      <c r="Q66">
        <v>0.32969999999999999</v>
      </c>
      <c r="R66">
        <v>0.34250000000000003</v>
      </c>
      <c r="S66">
        <v>0.34649999999999997</v>
      </c>
      <c r="T66">
        <v>4.0000000000000001E-3</v>
      </c>
      <c r="U66">
        <v>0.375</v>
      </c>
    </row>
    <row r="67" spans="1:21" x14ac:dyDescent="0.25">
      <c r="A67" t="str">
        <f t="shared" ref="A67:A109" si="1">_xlfn.CONCAT(B67," ",C67," ",D67," ",E67," CLASS ",LEFT(F67,1))</f>
        <v>3⁄8-24 or 0.3750-24 UNF CLASS 1</v>
      </c>
      <c r="B67" t="s">
        <v>407</v>
      </c>
      <c r="C67" t="s">
        <v>337</v>
      </c>
      <c r="D67" t="s">
        <v>408</v>
      </c>
      <c r="E67" t="s">
        <v>339</v>
      </c>
      <c r="F67" t="s">
        <v>386</v>
      </c>
      <c r="G67">
        <v>1.1000000000000001E-3</v>
      </c>
      <c r="H67">
        <v>0.37390000000000001</v>
      </c>
      <c r="I67">
        <v>0.36309999999999998</v>
      </c>
      <c r="J67">
        <v>0</v>
      </c>
      <c r="K67">
        <v>0.3468</v>
      </c>
      <c r="L67">
        <v>0.34110000000000001</v>
      </c>
      <c r="M67">
        <v>5.7000000000000002E-3</v>
      </c>
      <c r="N67">
        <v>0.32429999999999998</v>
      </c>
      <c r="O67" t="s">
        <v>387</v>
      </c>
      <c r="P67">
        <v>0.33</v>
      </c>
      <c r="Q67">
        <v>0.34</v>
      </c>
      <c r="R67">
        <v>0.34789999999999999</v>
      </c>
      <c r="S67">
        <v>0.3553</v>
      </c>
      <c r="T67">
        <v>7.4000000000000003E-3</v>
      </c>
      <c r="U67">
        <v>0.375</v>
      </c>
    </row>
    <row r="68" spans="1:21" x14ac:dyDescent="0.25">
      <c r="A68" t="str">
        <f t="shared" si="1"/>
        <v>3⁄8-24 or 0.3750-24 UNF CLASS 2</v>
      </c>
      <c r="B68" t="s">
        <v>407</v>
      </c>
      <c r="C68" t="s">
        <v>337</v>
      </c>
      <c r="D68" t="s">
        <v>408</v>
      </c>
      <c r="E68" t="s">
        <v>339</v>
      </c>
      <c r="F68" t="s">
        <v>340</v>
      </c>
      <c r="G68">
        <v>1.1000000000000001E-3</v>
      </c>
      <c r="H68">
        <v>0.37390000000000001</v>
      </c>
      <c r="I68">
        <v>0.36670000000000003</v>
      </c>
      <c r="J68">
        <v>0</v>
      </c>
      <c r="K68">
        <v>0.3468</v>
      </c>
      <c r="L68">
        <v>0.34300000000000003</v>
      </c>
      <c r="M68">
        <v>3.8040000000000001E-3</v>
      </c>
      <c r="N68">
        <v>0.32429999999999998</v>
      </c>
      <c r="O68" t="s">
        <v>341</v>
      </c>
      <c r="P68">
        <v>0.33</v>
      </c>
      <c r="Q68">
        <v>0.34</v>
      </c>
      <c r="R68">
        <v>0.34789999999999999</v>
      </c>
      <c r="S68">
        <v>0.3528</v>
      </c>
      <c r="T68">
        <v>4.8999999999999998E-3</v>
      </c>
      <c r="U68">
        <v>0.375</v>
      </c>
    </row>
    <row r="69" spans="1:21" x14ac:dyDescent="0.25">
      <c r="A69" t="str">
        <f t="shared" si="1"/>
        <v>3⁄8-24 or 0.3750-24 UNF CLASS 3</v>
      </c>
      <c r="B69" t="s">
        <v>407</v>
      </c>
      <c r="C69" t="s">
        <v>337</v>
      </c>
      <c r="D69" t="s">
        <v>408</v>
      </c>
      <c r="E69" t="s">
        <v>339</v>
      </c>
      <c r="F69" t="s">
        <v>342</v>
      </c>
      <c r="G69">
        <v>0</v>
      </c>
      <c r="H69">
        <v>0.375</v>
      </c>
      <c r="I69">
        <v>0.36780000000000002</v>
      </c>
      <c r="J69">
        <v>0</v>
      </c>
      <c r="K69">
        <v>0.34789999999999999</v>
      </c>
      <c r="L69">
        <v>0.34499999999999997</v>
      </c>
      <c r="M69">
        <v>2.8999999999999998E-3</v>
      </c>
      <c r="N69">
        <v>0.32540000000000002</v>
      </c>
      <c r="O69" t="s">
        <v>343</v>
      </c>
      <c r="P69">
        <v>0.33</v>
      </c>
      <c r="Q69">
        <v>0.3372</v>
      </c>
      <c r="R69">
        <v>0.34789999999999999</v>
      </c>
      <c r="S69">
        <v>0.35160000000000002</v>
      </c>
      <c r="T69">
        <v>3.7000000000000002E-3</v>
      </c>
      <c r="U69">
        <v>0.375</v>
      </c>
    </row>
    <row r="70" spans="1:21" x14ac:dyDescent="0.25">
      <c r="A70" t="str">
        <f t="shared" si="1"/>
        <v>3⁄8-28 or 0.3750-28 UN CLASS 2</v>
      </c>
      <c r="B70" t="s">
        <v>409</v>
      </c>
      <c r="C70" t="s">
        <v>337</v>
      </c>
      <c r="D70" t="s">
        <v>410</v>
      </c>
      <c r="E70" t="s">
        <v>396</v>
      </c>
      <c r="F70" t="s">
        <v>340</v>
      </c>
      <c r="G70">
        <v>1.1000000000000001E-3</v>
      </c>
      <c r="H70">
        <v>0.37390000000000001</v>
      </c>
      <c r="I70">
        <v>0.3674</v>
      </c>
      <c r="J70">
        <v>0</v>
      </c>
      <c r="K70">
        <v>0.35070000000000001</v>
      </c>
      <c r="L70">
        <v>0.34710000000000002</v>
      </c>
      <c r="M70">
        <v>3.5590000000000001E-3</v>
      </c>
      <c r="N70">
        <v>0.33139999999999997</v>
      </c>
      <c r="O70" t="s">
        <v>341</v>
      </c>
      <c r="P70">
        <v>0.33600000000000002</v>
      </c>
      <c r="Q70">
        <v>0.34499999999999997</v>
      </c>
      <c r="R70">
        <v>0.3518</v>
      </c>
      <c r="S70">
        <v>0.35639999999999999</v>
      </c>
      <c r="T70">
        <v>4.5999999999999999E-3</v>
      </c>
      <c r="U70">
        <v>0.375</v>
      </c>
    </row>
    <row r="71" spans="1:21" x14ac:dyDescent="0.25">
      <c r="A71" t="str">
        <f t="shared" si="1"/>
        <v>3⁄8-28 or 0.3750-28 UN CLASS 3</v>
      </c>
      <c r="B71" t="s">
        <v>409</v>
      </c>
      <c r="C71" t="s">
        <v>337</v>
      </c>
      <c r="D71" t="s">
        <v>410</v>
      </c>
      <c r="E71" t="s">
        <v>396</v>
      </c>
      <c r="F71" t="s">
        <v>342</v>
      </c>
      <c r="G71">
        <v>0</v>
      </c>
      <c r="H71">
        <v>0.375</v>
      </c>
      <c r="I71">
        <v>0.36849999999999999</v>
      </c>
      <c r="J71">
        <v>0</v>
      </c>
      <c r="K71">
        <v>0.3518</v>
      </c>
      <c r="L71">
        <v>0.34910000000000002</v>
      </c>
      <c r="M71">
        <v>2.7000000000000001E-3</v>
      </c>
      <c r="N71">
        <v>0.33250000000000002</v>
      </c>
      <c r="O71" t="s">
        <v>343</v>
      </c>
      <c r="P71">
        <v>0.33600000000000002</v>
      </c>
      <c r="Q71">
        <v>0.34260000000000002</v>
      </c>
      <c r="R71">
        <v>0.3518</v>
      </c>
      <c r="S71">
        <v>0.3553</v>
      </c>
      <c r="T71">
        <v>3.5000000000000001E-3</v>
      </c>
      <c r="U71">
        <v>0.375</v>
      </c>
    </row>
    <row r="72" spans="1:21" x14ac:dyDescent="0.25">
      <c r="A72" t="str">
        <f t="shared" si="1"/>
        <v>3⁄8-32 or 0.3750-32 UNEF CLASS 2</v>
      </c>
      <c r="B72" t="s">
        <v>411</v>
      </c>
      <c r="C72" t="s">
        <v>337</v>
      </c>
      <c r="D72" t="s">
        <v>412</v>
      </c>
      <c r="E72" t="s">
        <v>383</v>
      </c>
      <c r="F72" t="s">
        <v>340</v>
      </c>
      <c r="G72">
        <v>1E-3</v>
      </c>
      <c r="H72">
        <v>0.374</v>
      </c>
      <c r="I72">
        <v>0.36799999999999999</v>
      </c>
      <c r="J72">
        <v>0</v>
      </c>
      <c r="K72">
        <v>0.35370000000000001</v>
      </c>
      <c r="L72">
        <v>0.3503</v>
      </c>
      <c r="M72">
        <v>3.3660000000000001E-3</v>
      </c>
      <c r="N72">
        <v>0.33679999999999999</v>
      </c>
      <c r="O72" t="s">
        <v>341</v>
      </c>
      <c r="P72">
        <v>0.34100000000000003</v>
      </c>
      <c r="Q72">
        <v>0.34899999999999998</v>
      </c>
      <c r="R72">
        <v>0.35470000000000002</v>
      </c>
      <c r="S72">
        <v>0.35909999999999997</v>
      </c>
      <c r="T72">
        <v>4.4000000000000003E-3</v>
      </c>
      <c r="U72">
        <v>0.375</v>
      </c>
    </row>
    <row r="73" spans="1:21" x14ac:dyDescent="0.25">
      <c r="A73" t="str">
        <f t="shared" si="1"/>
        <v>3⁄8-32 or 0.3750-32 UNEF CLASS 3</v>
      </c>
      <c r="B73" t="s">
        <v>411</v>
      </c>
      <c r="C73" t="s">
        <v>337</v>
      </c>
      <c r="D73" t="s">
        <v>412</v>
      </c>
      <c r="E73" t="s">
        <v>383</v>
      </c>
      <c r="F73" t="s">
        <v>342</v>
      </c>
      <c r="G73">
        <v>0</v>
      </c>
      <c r="H73">
        <v>0.375</v>
      </c>
      <c r="I73">
        <v>0.36899999999999999</v>
      </c>
      <c r="J73">
        <v>0</v>
      </c>
      <c r="K73">
        <v>0.35470000000000002</v>
      </c>
      <c r="L73">
        <v>0.35220000000000001</v>
      </c>
      <c r="M73">
        <v>2.5000000000000001E-3</v>
      </c>
      <c r="N73">
        <v>0.33779999999999999</v>
      </c>
      <c r="O73" t="s">
        <v>343</v>
      </c>
      <c r="P73">
        <v>0.34100000000000003</v>
      </c>
      <c r="Q73">
        <v>0.34689999999999999</v>
      </c>
      <c r="R73">
        <v>0.35470000000000002</v>
      </c>
      <c r="S73">
        <v>0.35799999999999998</v>
      </c>
      <c r="T73">
        <v>3.3E-3</v>
      </c>
      <c r="U73">
        <v>0.375</v>
      </c>
    </row>
    <row r="74" spans="1:21" x14ac:dyDescent="0.25">
      <c r="A74" t="str">
        <f t="shared" si="1"/>
        <v>7⁄16-14 or 0.4375-14 UNC CLASS 1</v>
      </c>
      <c r="B74" t="s">
        <v>413</v>
      </c>
      <c r="C74" t="s">
        <v>337</v>
      </c>
      <c r="D74" t="s">
        <v>414</v>
      </c>
      <c r="E74" t="s">
        <v>346</v>
      </c>
      <c r="F74" t="s">
        <v>386</v>
      </c>
      <c r="G74">
        <v>1.4E-3</v>
      </c>
      <c r="H74">
        <v>0.43609999999999999</v>
      </c>
      <c r="I74">
        <v>0.42059999999999997</v>
      </c>
      <c r="J74">
        <v>0</v>
      </c>
      <c r="K74">
        <v>0.38969999999999999</v>
      </c>
      <c r="L74">
        <v>0.3826</v>
      </c>
      <c r="M74">
        <v>7.1000000000000004E-3</v>
      </c>
      <c r="N74">
        <v>0.35099999999999998</v>
      </c>
      <c r="O74" t="s">
        <v>387</v>
      </c>
      <c r="P74">
        <v>0.36</v>
      </c>
      <c r="Q74">
        <v>0.376</v>
      </c>
      <c r="R74">
        <v>0.3911</v>
      </c>
      <c r="S74">
        <v>0.40029999999999999</v>
      </c>
      <c r="T74">
        <v>9.1999999999999998E-3</v>
      </c>
      <c r="U74">
        <v>0.4375</v>
      </c>
    </row>
    <row r="75" spans="1:21" x14ac:dyDescent="0.25">
      <c r="A75" t="str">
        <f t="shared" si="1"/>
        <v>7⁄16-14 or 0.4375-14 UNC CLASS 2</v>
      </c>
      <c r="B75" t="s">
        <v>413</v>
      </c>
      <c r="C75" t="s">
        <v>337</v>
      </c>
      <c r="D75" t="s">
        <v>414</v>
      </c>
      <c r="E75" t="s">
        <v>346</v>
      </c>
      <c r="F75" t="s">
        <v>340</v>
      </c>
      <c r="G75">
        <v>1.4E-3</v>
      </c>
      <c r="H75">
        <v>0.43609999999999999</v>
      </c>
      <c r="I75">
        <v>0.42580000000000001</v>
      </c>
      <c r="J75">
        <v>0.42059999999999997</v>
      </c>
      <c r="K75">
        <v>0.38969999999999999</v>
      </c>
      <c r="L75">
        <v>0.38500000000000001</v>
      </c>
      <c r="M75">
        <v>4.7130000000000002E-3</v>
      </c>
      <c r="N75">
        <v>0.35099999999999998</v>
      </c>
      <c r="O75" t="s">
        <v>341</v>
      </c>
      <c r="P75">
        <v>0.36</v>
      </c>
      <c r="Q75">
        <v>0.376</v>
      </c>
      <c r="R75">
        <v>0.3911</v>
      </c>
      <c r="S75">
        <v>0.3972</v>
      </c>
      <c r="T75">
        <v>6.1000000000000004E-3</v>
      </c>
      <c r="U75">
        <v>0.4375</v>
      </c>
    </row>
    <row r="76" spans="1:21" x14ac:dyDescent="0.25">
      <c r="A76" t="str">
        <f t="shared" si="1"/>
        <v>7⁄16-14 or 0.4375-14 UNC CLASS 3</v>
      </c>
      <c r="B76" t="s">
        <v>413</v>
      </c>
      <c r="C76" t="s">
        <v>337</v>
      </c>
      <c r="D76" t="s">
        <v>414</v>
      </c>
      <c r="E76" t="s">
        <v>346</v>
      </c>
      <c r="F76" t="s">
        <v>342</v>
      </c>
      <c r="G76">
        <v>0</v>
      </c>
      <c r="H76">
        <v>0.4375</v>
      </c>
      <c r="I76">
        <v>0.42720000000000002</v>
      </c>
      <c r="J76">
        <v>0</v>
      </c>
      <c r="K76">
        <v>0.3911</v>
      </c>
      <c r="L76">
        <v>0.3876</v>
      </c>
      <c r="M76">
        <v>3.5000000000000001E-3</v>
      </c>
      <c r="N76">
        <v>0.35239999999999999</v>
      </c>
      <c r="O76" t="s">
        <v>343</v>
      </c>
      <c r="P76">
        <v>0.36</v>
      </c>
      <c r="Q76">
        <v>0.37169999999999997</v>
      </c>
      <c r="R76">
        <v>0.3911</v>
      </c>
      <c r="S76">
        <v>0.3957</v>
      </c>
      <c r="T76">
        <v>4.5999999999999999E-3</v>
      </c>
      <c r="U76">
        <v>0.4375</v>
      </c>
    </row>
    <row r="77" spans="1:21" x14ac:dyDescent="0.25">
      <c r="A77" t="str">
        <f t="shared" si="1"/>
        <v>7⁄16-16 or 0.4375-16 UN CLASS 2</v>
      </c>
      <c r="B77" t="s">
        <v>415</v>
      </c>
      <c r="C77" t="s">
        <v>337</v>
      </c>
      <c r="D77" t="s">
        <v>416</v>
      </c>
      <c r="E77" t="s">
        <v>396</v>
      </c>
      <c r="F77" t="s">
        <v>340</v>
      </c>
      <c r="G77">
        <v>1.4E-3</v>
      </c>
      <c r="H77">
        <v>0.43609999999999999</v>
      </c>
      <c r="I77">
        <v>0.42670000000000002</v>
      </c>
      <c r="J77">
        <v>0</v>
      </c>
      <c r="K77">
        <v>0.39550000000000002</v>
      </c>
      <c r="L77">
        <v>0.39090000000000003</v>
      </c>
      <c r="M77">
        <v>4.6259999999999999E-3</v>
      </c>
      <c r="N77">
        <v>0.36170000000000002</v>
      </c>
      <c r="O77" t="s">
        <v>341</v>
      </c>
      <c r="P77">
        <v>0.37</v>
      </c>
      <c r="Q77">
        <v>0.38400000000000001</v>
      </c>
      <c r="R77">
        <v>0.39689999999999998</v>
      </c>
      <c r="S77">
        <v>0.40289999999999998</v>
      </c>
      <c r="T77">
        <v>6.0000000000000001E-3</v>
      </c>
      <c r="U77">
        <v>0.4375</v>
      </c>
    </row>
    <row r="78" spans="1:21" x14ac:dyDescent="0.25">
      <c r="A78" t="str">
        <f t="shared" si="1"/>
        <v>7⁄16-16 or 0.4375-16 UN CLASS 3</v>
      </c>
      <c r="B78" t="s">
        <v>415</v>
      </c>
      <c r="C78" t="s">
        <v>337</v>
      </c>
      <c r="D78" t="s">
        <v>416</v>
      </c>
      <c r="E78" t="s">
        <v>396</v>
      </c>
      <c r="F78" t="s">
        <v>342</v>
      </c>
      <c r="G78">
        <v>0</v>
      </c>
      <c r="H78">
        <v>0.4375</v>
      </c>
      <c r="I78">
        <v>0.42809999999999998</v>
      </c>
      <c r="J78">
        <v>0</v>
      </c>
      <c r="K78">
        <v>0.39689999999999998</v>
      </c>
      <c r="L78">
        <v>0.39340000000000003</v>
      </c>
      <c r="M78">
        <v>3.5000000000000001E-3</v>
      </c>
      <c r="N78">
        <v>0.36309999999999998</v>
      </c>
      <c r="O78" t="s">
        <v>343</v>
      </c>
      <c r="P78">
        <v>0.37</v>
      </c>
      <c r="Q78">
        <v>0.38</v>
      </c>
      <c r="R78">
        <v>0.39689999999999998</v>
      </c>
      <c r="S78">
        <v>0.40139999999999998</v>
      </c>
      <c r="T78">
        <v>4.4999999999999997E-3</v>
      </c>
      <c r="U78">
        <v>0.4375</v>
      </c>
    </row>
    <row r="79" spans="1:21" x14ac:dyDescent="0.25">
      <c r="A79" t="str">
        <f t="shared" si="1"/>
        <v>7⁄16-20 or 0.4375-20 UNF CLASS 1</v>
      </c>
      <c r="B79" t="s">
        <v>417</v>
      </c>
      <c r="C79" t="s">
        <v>337</v>
      </c>
      <c r="D79" t="s">
        <v>418</v>
      </c>
      <c r="E79" t="s">
        <v>339</v>
      </c>
      <c r="F79" t="s">
        <v>386</v>
      </c>
      <c r="G79">
        <v>1.2999999999999999E-3</v>
      </c>
      <c r="H79">
        <v>0.43619999999999998</v>
      </c>
      <c r="I79">
        <v>0.42399999999999999</v>
      </c>
      <c r="J79">
        <v>0</v>
      </c>
      <c r="K79">
        <v>0.4037</v>
      </c>
      <c r="L79">
        <v>0.39739999999999998</v>
      </c>
      <c r="M79">
        <v>6.3E-3</v>
      </c>
      <c r="N79">
        <v>0.37669999999999998</v>
      </c>
      <c r="O79" t="s">
        <v>387</v>
      </c>
      <c r="P79">
        <v>0.38300000000000001</v>
      </c>
      <c r="Q79">
        <v>0.39500000000000002</v>
      </c>
      <c r="R79">
        <v>0.40500000000000003</v>
      </c>
      <c r="S79">
        <v>0.41310000000000002</v>
      </c>
      <c r="T79">
        <v>8.0999999999999996E-3</v>
      </c>
      <c r="U79">
        <v>0.4375</v>
      </c>
    </row>
    <row r="80" spans="1:21" x14ac:dyDescent="0.25">
      <c r="A80" t="str">
        <f t="shared" si="1"/>
        <v>7⁄16-20 or 0.4375-20 UNF CLASS 2</v>
      </c>
      <c r="B80" t="s">
        <v>417</v>
      </c>
      <c r="C80" t="s">
        <v>337</v>
      </c>
      <c r="D80" t="s">
        <v>418</v>
      </c>
      <c r="E80" t="s">
        <v>339</v>
      </c>
      <c r="F80" t="s">
        <v>340</v>
      </c>
      <c r="G80">
        <v>1.2999999999999999E-3</v>
      </c>
      <c r="H80">
        <v>0.43619999999999998</v>
      </c>
      <c r="I80">
        <v>0.42809999999999998</v>
      </c>
      <c r="J80">
        <v>0</v>
      </c>
      <c r="K80">
        <v>0.4037</v>
      </c>
      <c r="L80">
        <v>0.39950000000000002</v>
      </c>
      <c r="M80">
        <v>4.1669999999999997E-3</v>
      </c>
      <c r="N80">
        <v>0.37669999999999998</v>
      </c>
      <c r="O80" t="s">
        <v>341</v>
      </c>
      <c r="P80">
        <v>0.38300000000000001</v>
      </c>
      <c r="Q80">
        <v>0.39500000000000002</v>
      </c>
      <c r="R80">
        <v>0.40500000000000003</v>
      </c>
      <c r="S80">
        <v>0.41039999999999999</v>
      </c>
      <c r="T80">
        <v>5.4000000000000003E-3</v>
      </c>
      <c r="U80">
        <v>0.4375</v>
      </c>
    </row>
    <row r="81" spans="1:21" x14ac:dyDescent="0.25">
      <c r="A81" t="str">
        <f t="shared" si="1"/>
        <v>7⁄16-20 or 0.4375-20 UNF CLASS 3</v>
      </c>
      <c r="B81" t="s">
        <v>417</v>
      </c>
      <c r="C81" t="s">
        <v>337</v>
      </c>
      <c r="D81" t="s">
        <v>418</v>
      </c>
      <c r="E81" t="s">
        <v>339</v>
      </c>
      <c r="F81" t="s">
        <v>342</v>
      </c>
      <c r="G81">
        <v>0</v>
      </c>
      <c r="H81">
        <v>0.4375</v>
      </c>
      <c r="I81">
        <v>0.4294</v>
      </c>
      <c r="J81">
        <v>0</v>
      </c>
      <c r="K81">
        <v>0.40500000000000003</v>
      </c>
      <c r="L81">
        <v>0.40189999999999998</v>
      </c>
      <c r="M81">
        <v>3.0999999999999999E-3</v>
      </c>
      <c r="N81">
        <v>0.378</v>
      </c>
      <c r="O81" t="s">
        <v>343</v>
      </c>
      <c r="P81">
        <v>0.38300000000000001</v>
      </c>
      <c r="Q81">
        <v>0.3916</v>
      </c>
      <c r="R81">
        <v>0.40500000000000003</v>
      </c>
      <c r="S81">
        <v>0.40910000000000002</v>
      </c>
      <c r="T81">
        <v>4.1000000000000003E-3</v>
      </c>
      <c r="U81">
        <v>0.4375</v>
      </c>
    </row>
    <row r="82" spans="1:21" x14ac:dyDescent="0.25">
      <c r="A82" t="str">
        <f t="shared" si="1"/>
        <v>7⁄16-28 or 0.4375-28 UNEF CLASS 2</v>
      </c>
      <c r="B82" t="s">
        <v>419</v>
      </c>
      <c r="C82" t="s">
        <v>337</v>
      </c>
      <c r="D82" t="s">
        <v>420</v>
      </c>
      <c r="E82" t="s">
        <v>383</v>
      </c>
      <c r="F82" t="s">
        <v>340</v>
      </c>
      <c r="G82">
        <v>1.1000000000000001E-3</v>
      </c>
      <c r="H82">
        <v>0.43640000000000001</v>
      </c>
      <c r="I82">
        <v>0.4299</v>
      </c>
      <c r="J82">
        <v>0</v>
      </c>
      <c r="K82">
        <v>0.41320000000000001</v>
      </c>
      <c r="L82">
        <v>0.40960000000000002</v>
      </c>
      <c r="M82">
        <v>3.6159999999999999E-3</v>
      </c>
      <c r="N82">
        <v>0.39389999999999997</v>
      </c>
      <c r="O82" t="s">
        <v>341</v>
      </c>
      <c r="P82">
        <v>0.39900000000000002</v>
      </c>
      <c r="Q82">
        <v>0.40699999999999997</v>
      </c>
      <c r="R82">
        <v>0.4143</v>
      </c>
      <c r="S82">
        <v>0.41899999999999998</v>
      </c>
      <c r="T82">
        <v>4.7000000000000002E-3</v>
      </c>
      <c r="U82">
        <v>0.4375</v>
      </c>
    </row>
    <row r="83" spans="1:21" x14ac:dyDescent="0.25">
      <c r="A83" t="str">
        <f t="shared" si="1"/>
        <v>7⁄16-28 or 0.4375-28 UNEF CLASS 3</v>
      </c>
      <c r="B83" t="s">
        <v>419</v>
      </c>
      <c r="C83" t="s">
        <v>337</v>
      </c>
      <c r="D83" t="s">
        <v>420</v>
      </c>
      <c r="E83" t="s">
        <v>383</v>
      </c>
      <c r="F83" t="s">
        <v>342</v>
      </c>
      <c r="G83">
        <v>0</v>
      </c>
      <c r="H83">
        <v>0.4375</v>
      </c>
      <c r="I83">
        <v>0.43099999999999999</v>
      </c>
      <c r="J83">
        <v>0</v>
      </c>
      <c r="K83">
        <v>0.4143</v>
      </c>
      <c r="L83">
        <v>0.41160000000000002</v>
      </c>
      <c r="M83">
        <v>2.7000000000000001E-3</v>
      </c>
      <c r="N83">
        <v>0.39500000000000002</v>
      </c>
      <c r="O83" t="s">
        <v>343</v>
      </c>
      <c r="P83">
        <v>0.39900000000000002</v>
      </c>
      <c r="Q83">
        <v>0.40510000000000002</v>
      </c>
      <c r="R83">
        <v>0.4143</v>
      </c>
      <c r="S83">
        <v>0.4178</v>
      </c>
      <c r="T83">
        <v>3.5000000000000001E-3</v>
      </c>
      <c r="U83">
        <v>0.4375</v>
      </c>
    </row>
    <row r="84" spans="1:21" x14ac:dyDescent="0.25">
      <c r="A84" t="str">
        <f t="shared" si="1"/>
        <v>7⁄16-32 or 0.4375-32 UN CLASS 2</v>
      </c>
      <c r="B84" t="s">
        <v>421</v>
      </c>
      <c r="C84" t="s">
        <v>337</v>
      </c>
      <c r="D84" t="s">
        <v>422</v>
      </c>
      <c r="E84" t="s">
        <v>396</v>
      </c>
      <c r="F84" t="s">
        <v>340</v>
      </c>
      <c r="G84">
        <v>1E-3</v>
      </c>
      <c r="H84">
        <v>0.4365</v>
      </c>
      <c r="I84">
        <v>0.43049999999999999</v>
      </c>
      <c r="J84">
        <v>0</v>
      </c>
      <c r="K84">
        <v>0.41620000000000001</v>
      </c>
      <c r="L84">
        <v>0.4128</v>
      </c>
      <c r="M84">
        <v>3.4229999999999998E-3</v>
      </c>
      <c r="N84">
        <v>0.39929999999999999</v>
      </c>
      <c r="O84" t="s">
        <v>341</v>
      </c>
      <c r="P84">
        <v>0.40400000000000003</v>
      </c>
      <c r="Q84">
        <v>0.41099999999999998</v>
      </c>
      <c r="R84">
        <v>0.41720000000000002</v>
      </c>
      <c r="S84">
        <v>0.42159999999999997</v>
      </c>
      <c r="T84">
        <v>4.4000000000000003E-3</v>
      </c>
      <c r="U84">
        <v>0.4375</v>
      </c>
    </row>
    <row r="85" spans="1:21" x14ac:dyDescent="0.25">
      <c r="A85" t="str">
        <f t="shared" si="1"/>
        <v>7⁄16-32 or 0.4375-32 UN CLASS 3</v>
      </c>
      <c r="B85" t="s">
        <v>421</v>
      </c>
      <c r="C85" t="s">
        <v>337</v>
      </c>
      <c r="D85" t="s">
        <v>422</v>
      </c>
      <c r="E85" t="s">
        <v>396</v>
      </c>
      <c r="F85" t="s">
        <v>342</v>
      </c>
      <c r="G85">
        <v>0</v>
      </c>
      <c r="H85">
        <v>0.4375</v>
      </c>
      <c r="I85">
        <v>0.43149999999999999</v>
      </c>
      <c r="J85">
        <v>0</v>
      </c>
      <c r="K85">
        <v>0.41720000000000002</v>
      </c>
      <c r="L85">
        <v>0.41460000000000002</v>
      </c>
      <c r="M85">
        <v>2.5999999999999999E-3</v>
      </c>
      <c r="N85">
        <v>0.40029999999999999</v>
      </c>
      <c r="O85" t="s">
        <v>343</v>
      </c>
      <c r="P85">
        <v>0.40400000000000003</v>
      </c>
      <c r="Q85">
        <v>0.40939999999999999</v>
      </c>
      <c r="R85">
        <v>0.41720000000000002</v>
      </c>
      <c r="S85">
        <v>0.42049999999999998</v>
      </c>
      <c r="T85">
        <v>3.3E-3</v>
      </c>
      <c r="U85">
        <v>0.4375</v>
      </c>
    </row>
    <row r="86" spans="1:21" x14ac:dyDescent="0.25">
      <c r="A86" t="str">
        <f t="shared" si="1"/>
        <v>1⁄2-13 or 0.5000-13 UNC CLASS 1</v>
      </c>
      <c r="B86" t="s">
        <v>423</v>
      </c>
      <c r="C86" t="s">
        <v>337</v>
      </c>
      <c r="D86" t="s">
        <v>424</v>
      </c>
      <c r="E86" t="s">
        <v>346</v>
      </c>
      <c r="F86" t="s">
        <v>386</v>
      </c>
      <c r="G86">
        <v>1.5E-3</v>
      </c>
      <c r="H86">
        <v>0.4985</v>
      </c>
      <c r="I86">
        <v>0.48220000000000002</v>
      </c>
      <c r="J86">
        <v>0</v>
      </c>
      <c r="K86">
        <v>0.44850000000000001</v>
      </c>
      <c r="L86">
        <v>0.44109999999999999</v>
      </c>
      <c r="M86">
        <v>7.4000000000000003E-3</v>
      </c>
      <c r="N86">
        <v>0.40689999999999998</v>
      </c>
      <c r="O86" t="s">
        <v>387</v>
      </c>
      <c r="P86">
        <v>0.41699999999999998</v>
      </c>
      <c r="Q86">
        <v>0.434</v>
      </c>
      <c r="R86">
        <v>0.45</v>
      </c>
      <c r="S86">
        <v>0.4597</v>
      </c>
      <c r="T86">
        <v>9.7000000000000003E-3</v>
      </c>
      <c r="U86">
        <v>0.5</v>
      </c>
    </row>
    <row r="87" spans="1:21" x14ac:dyDescent="0.25">
      <c r="A87" t="str">
        <f t="shared" si="1"/>
        <v>1⁄2-13 or 0.5000-13 UNC CLASS 2</v>
      </c>
      <c r="B87" t="s">
        <v>423</v>
      </c>
      <c r="C87" t="s">
        <v>337</v>
      </c>
      <c r="D87" t="s">
        <v>424</v>
      </c>
      <c r="E87" t="s">
        <v>346</v>
      </c>
      <c r="F87" t="s">
        <v>340</v>
      </c>
      <c r="G87">
        <v>1.5E-3</v>
      </c>
      <c r="H87">
        <v>0.4985</v>
      </c>
      <c r="I87">
        <v>0.48759999999999998</v>
      </c>
      <c r="J87">
        <v>0.48220000000000002</v>
      </c>
      <c r="K87">
        <v>0.44850000000000001</v>
      </c>
      <c r="L87">
        <v>0.44350000000000001</v>
      </c>
      <c r="M87">
        <v>4.9649999999999998E-3</v>
      </c>
      <c r="N87">
        <v>0.40689999999999998</v>
      </c>
      <c r="O87" t="s">
        <v>341</v>
      </c>
      <c r="P87">
        <v>0.41699999999999998</v>
      </c>
      <c r="Q87">
        <v>0.434</v>
      </c>
      <c r="R87">
        <v>0.45</v>
      </c>
      <c r="S87">
        <v>0.45650000000000002</v>
      </c>
      <c r="T87">
        <v>6.4999999999999997E-3</v>
      </c>
      <c r="U87">
        <v>0.5</v>
      </c>
    </row>
    <row r="88" spans="1:21" x14ac:dyDescent="0.25">
      <c r="A88" t="str">
        <f t="shared" si="1"/>
        <v>1⁄2-13 or 0.5000-13 UNC CLASS 3</v>
      </c>
      <c r="B88" t="s">
        <v>423</v>
      </c>
      <c r="C88" t="s">
        <v>337</v>
      </c>
      <c r="D88" t="s">
        <v>424</v>
      </c>
      <c r="E88" t="s">
        <v>346</v>
      </c>
      <c r="F88" t="s">
        <v>342</v>
      </c>
      <c r="G88">
        <v>0</v>
      </c>
      <c r="H88">
        <v>0.5</v>
      </c>
      <c r="I88">
        <v>0.48909999999999998</v>
      </c>
      <c r="J88">
        <v>0</v>
      </c>
      <c r="K88">
        <v>0.45</v>
      </c>
      <c r="L88">
        <v>0.44629999999999997</v>
      </c>
      <c r="M88">
        <v>3.7000000000000002E-3</v>
      </c>
      <c r="N88">
        <v>0.40839999999999999</v>
      </c>
      <c r="O88" t="s">
        <v>343</v>
      </c>
      <c r="P88">
        <v>0.41699999999999998</v>
      </c>
      <c r="Q88">
        <v>0.4284</v>
      </c>
      <c r="R88">
        <v>0.45</v>
      </c>
      <c r="S88">
        <v>0.45479999999999998</v>
      </c>
      <c r="T88">
        <v>4.7999999999999996E-3</v>
      </c>
      <c r="U88">
        <v>0.5</v>
      </c>
    </row>
    <row r="89" spans="1:21" x14ac:dyDescent="0.25">
      <c r="A89" t="str">
        <f t="shared" si="1"/>
        <v>1⁄2-16 or 0.5000-16 UN CLASS 2</v>
      </c>
      <c r="B89" t="s">
        <v>425</v>
      </c>
      <c r="C89" t="s">
        <v>337</v>
      </c>
      <c r="D89" t="s">
        <v>426</v>
      </c>
      <c r="E89" t="s">
        <v>396</v>
      </c>
      <c r="F89" t="s">
        <v>340</v>
      </c>
      <c r="G89">
        <v>1.4E-3</v>
      </c>
      <c r="H89">
        <v>0.49859999999999999</v>
      </c>
      <c r="I89">
        <v>0.48920000000000002</v>
      </c>
      <c r="J89">
        <v>0</v>
      </c>
      <c r="K89">
        <v>0.45800000000000002</v>
      </c>
      <c r="L89">
        <v>0.45329999999999998</v>
      </c>
      <c r="M89">
        <v>4.6779999999999999E-3</v>
      </c>
      <c r="N89">
        <v>0.42420000000000002</v>
      </c>
      <c r="O89" t="s">
        <v>341</v>
      </c>
      <c r="P89">
        <v>0.432</v>
      </c>
      <c r="Q89">
        <v>0.44600000000000001</v>
      </c>
      <c r="R89">
        <v>0.45939999999999998</v>
      </c>
      <c r="S89">
        <v>0.46550000000000002</v>
      </c>
      <c r="T89">
        <v>6.1000000000000004E-3</v>
      </c>
      <c r="U89">
        <v>0.5</v>
      </c>
    </row>
    <row r="90" spans="1:21" x14ac:dyDescent="0.25">
      <c r="A90" t="str">
        <f t="shared" si="1"/>
        <v>1⁄2-16 or 0.5000-16 UN CLASS 3</v>
      </c>
      <c r="B90" t="s">
        <v>425</v>
      </c>
      <c r="C90" t="s">
        <v>337</v>
      </c>
      <c r="D90" t="s">
        <v>426</v>
      </c>
      <c r="E90" t="s">
        <v>396</v>
      </c>
      <c r="F90" t="s">
        <v>342</v>
      </c>
      <c r="G90">
        <v>0</v>
      </c>
      <c r="H90">
        <v>0.5</v>
      </c>
      <c r="I90">
        <v>0.49059999999999998</v>
      </c>
      <c r="J90">
        <v>0</v>
      </c>
      <c r="K90">
        <v>0.45939999999999998</v>
      </c>
      <c r="L90">
        <v>0.45590000000000003</v>
      </c>
      <c r="M90">
        <v>3.5000000000000001E-3</v>
      </c>
      <c r="N90">
        <v>0.42559999999999998</v>
      </c>
      <c r="O90" t="s">
        <v>343</v>
      </c>
      <c r="P90">
        <v>0.432</v>
      </c>
      <c r="Q90">
        <v>0.442</v>
      </c>
      <c r="R90">
        <v>0.45939999999999998</v>
      </c>
      <c r="S90">
        <v>0.46400000000000002</v>
      </c>
      <c r="T90">
        <v>4.5999999999999999E-3</v>
      </c>
      <c r="U90">
        <v>0.5</v>
      </c>
    </row>
    <row r="91" spans="1:21" x14ac:dyDescent="0.25">
      <c r="A91" t="str">
        <f t="shared" si="1"/>
        <v>1⁄2-20 or 0.5000-20 UNF CLASS 1</v>
      </c>
      <c r="B91" t="s">
        <v>427</v>
      </c>
      <c r="C91" t="s">
        <v>337</v>
      </c>
      <c r="D91" t="s">
        <v>428</v>
      </c>
      <c r="E91" t="s">
        <v>339</v>
      </c>
      <c r="F91" t="s">
        <v>386</v>
      </c>
      <c r="G91">
        <v>1.2999999999999999E-3</v>
      </c>
      <c r="H91">
        <v>0.49869999999999998</v>
      </c>
      <c r="I91">
        <v>0.48649999999999999</v>
      </c>
      <c r="J91">
        <v>0</v>
      </c>
      <c r="K91">
        <v>0.4662</v>
      </c>
      <c r="L91">
        <v>0.45979999999999999</v>
      </c>
      <c r="M91">
        <v>6.4000000000000003E-3</v>
      </c>
      <c r="N91">
        <v>0.43919999999999998</v>
      </c>
      <c r="O91" t="s">
        <v>387</v>
      </c>
      <c r="P91">
        <v>0.44600000000000001</v>
      </c>
      <c r="Q91">
        <v>0.45700000000000002</v>
      </c>
      <c r="R91">
        <v>0.46750000000000003</v>
      </c>
      <c r="S91">
        <v>0.47589999999999999</v>
      </c>
      <c r="T91">
        <v>8.3999999999999995E-3</v>
      </c>
      <c r="U91">
        <v>0.5</v>
      </c>
    </row>
    <row r="92" spans="1:21" x14ac:dyDescent="0.25">
      <c r="A92" t="str">
        <f t="shared" si="1"/>
        <v>1⁄2-20 or 0.5000-20 UNF CLASS 2</v>
      </c>
      <c r="B92" t="s">
        <v>427</v>
      </c>
      <c r="C92" t="s">
        <v>337</v>
      </c>
      <c r="D92" t="s">
        <v>428</v>
      </c>
      <c r="E92" t="s">
        <v>339</v>
      </c>
      <c r="F92" t="s">
        <v>340</v>
      </c>
      <c r="G92">
        <v>1.2999999999999999E-3</v>
      </c>
      <c r="H92">
        <v>0.49869999999999998</v>
      </c>
      <c r="I92">
        <v>0.49059999999999998</v>
      </c>
      <c r="J92">
        <v>0</v>
      </c>
      <c r="K92">
        <v>0.4662</v>
      </c>
      <c r="L92">
        <v>0.46189999999999998</v>
      </c>
      <c r="M92">
        <v>4.2880000000000001E-3</v>
      </c>
      <c r="N92">
        <v>0.43919999999999998</v>
      </c>
      <c r="O92" t="s">
        <v>341</v>
      </c>
      <c r="P92">
        <v>0.44600000000000001</v>
      </c>
      <c r="Q92">
        <v>0.45700000000000002</v>
      </c>
      <c r="R92">
        <v>0.46750000000000003</v>
      </c>
      <c r="S92">
        <v>0.47310000000000002</v>
      </c>
      <c r="T92">
        <v>5.5999999999999999E-3</v>
      </c>
      <c r="U92">
        <v>0.5</v>
      </c>
    </row>
    <row r="93" spans="1:21" x14ac:dyDescent="0.25">
      <c r="A93" t="str">
        <f t="shared" si="1"/>
        <v>1⁄2-20 or 0.5000-20 UNF CLASS 3</v>
      </c>
      <c r="B93" t="s">
        <v>427</v>
      </c>
      <c r="C93" t="s">
        <v>337</v>
      </c>
      <c r="D93" t="s">
        <v>428</v>
      </c>
      <c r="E93" t="s">
        <v>339</v>
      </c>
      <c r="F93" t="s">
        <v>342</v>
      </c>
      <c r="G93">
        <v>0</v>
      </c>
      <c r="H93">
        <v>0.5</v>
      </c>
      <c r="I93">
        <v>0.4919</v>
      </c>
      <c r="J93">
        <v>0</v>
      </c>
      <c r="K93">
        <v>0.46750000000000003</v>
      </c>
      <c r="L93">
        <v>0.46429999999999999</v>
      </c>
      <c r="M93">
        <v>3.2000000000000002E-3</v>
      </c>
      <c r="N93">
        <v>0.4405</v>
      </c>
      <c r="O93" t="s">
        <v>343</v>
      </c>
      <c r="P93">
        <v>0.44600000000000001</v>
      </c>
      <c r="Q93">
        <v>0.45369999999999999</v>
      </c>
      <c r="R93">
        <v>0.46750000000000003</v>
      </c>
      <c r="S93">
        <v>0.47170000000000001</v>
      </c>
      <c r="T93">
        <v>4.1999999999999997E-3</v>
      </c>
      <c r="U93">
        <v>0.5</v>
      </c>
    </row>
    <row r="94" spans="1:21" x14ac:dyDescent="0.25">
      <c r="A94" t="str">
        <f t="shared" si="1"/>
        <v>1⁄2-28 or 0.5000-28 UNEF CLASS 2</v>
      </c>
      <c r="B94" t="s">
        <v>429</v>
      </c>
      <c r="C94" t="s">
        <v>337</v>
      </c>
      <c r="D94" t="s">
        <v>430</v>
      </c>
      <c r="E94" t="s">
        <v>383</v>
      </c>
      <c r="F94" t="s">
        <v>340</v>
      </c>
      <c r="G94">
        <v>1.1000000000000001E-3</v>
      </c>
      <c r="H94">
        <v>0.49890000000000001</v>
      </c>
      <c r="I94">
        <v>0.4924</v>
      </c>
      <c r="J94">
        <v>0</v>
      </c>
      <c r="K94">
        <v>0.47570000000000001</v>
      </c>
      <c r="L94">
        <v>0.47199999999999998</v>
      </c>
      <c r="M94">
        <v>3.6679999999999998E-3</v>
      </c>
      <c r="N94">
        <v>0.45639999999999997</v>
      </c>
      <c r="O94" t="s">
        <v>341</v>
      </c>
      <c r="P94">
        <v>0.46100000000000002</v>
      </c>
      <c r="Q94">
        <v>0.47</v>
      </c>
      <c r="R94">
        <v>0.4768</v>
      </c>
      <c r="S94">
        <v>0.48159999999999997</v>
      </c>
      <c r="T94">
        <v>4.7999999999999996E-3</v>
      </c>
      <c r="U94">
        <v>0.5</v>
      </c>
    </row>
    <row r="95" spans="1:21" x14ac:dyDescent="0.25">
      <c r="A95" t="str">
        <f t="shared" si="1"/>
        <v>1⁄2-28 or 0.5000-28 UNEF CLASS 3</v>
      </c>
      <c r="B95" t="s">
        <v>429</v>
      </c>
      <c r="C95" t="s">
        <v>337</v>
      </c>
      <c r="D95" t="s">
        <v>430</v>
      </c>
      <c r="E95" t="s">
        <v>383</v>
      </c>
      <c r="F95" t="s">
        <v>342</v>
      </c>
      <c r="G95">
        <v>0</v>
      </c>
      <c r="H95">
        <v>0.5</v>
      </c>
      <c r="I95">
        <v>0.49349999999999999</v>
      </c>
      <c r="J95">
        <v>0</v>
      </c>
      <c r="K95">
        <v>0.4768</v>
      </c>
      <c r="L95">
        <v>0.47399999999999998</v>
      </c>
      <c r="M95">
        <v>2.8E-3</v>
      </c>
      <c r="N95">
        <v>0.45750000000000002</v>
      </c>
      <c r="O95" t="s">
        <v>343</v>
      </c>
      <c r="P95">
        <v>0.46100000000000002</v>
      </c>
      <c r="Q95">
        <v>0.46760000000000002</v>
      </c>
      <c r="R95">
        <v>0.4768</v>
      </c>
      <c r="S95">
        <v>0.48039999999999999</v>
      </c>
      <c r="T95">
        <v>3.5999999999999999E-3</v>
      </c>
      <c r="U95">
        <v>0.5</v>
      </c>
    </row>
    <row r="96" spans="1:21" x14ac:dyDescent="0.25">
      <c r="A96" t="str">
        <f t="shared" si="1"/>
        <v>1⁄2-32 or 0.5000-32 UN CLASS 2</v>
      </c>
      <c r="B96" t="s">
        <v>431</v>
      </c>
      <c r="C96" t="s">
        <v>337</v>
      </c>
      <c r="D96" t="s">
        <v>432</v>
      </c>
      <c r="E96" t="s">
        <v>396</v>
      </c>
      <c r="F96" t="s">
        <v>340</v>
      </c>
      <c r="G96">
        <v>1E-3</v>
      </c>
      <c r="H96">
        <v>0.499</v>
      </c>
      <c r="I96">
        <v>0.49299999999999999</v>
      </c>
      <c r="J96">
        <v>0</v>
      </c>
      <c r="K96">
        <v>0.47870000000000001</v>
      </c>
      <c r="L96">
        <v>0.47520000000000001</v>
      </c>
      <c r="M96">
        <v>3.4749999999999998E-3</v>
      </c>
      <c r="N96">
        <v>0.46179999999999999</v>
      </c>
      <c r="O96" t="s">
        <v>341</v>
      </c>
      <c r="P96">
        <v>0.46600000000000003</v>
      </c>
      <c r="Q96">
        <v>0.47399999999999998</v>
      </c>
      <c r="R96">
        <v>0.47970000000000002</v>
      </c>
      <c r="S96">
        <v>0.48420000000000002</v>
      </c>
      <c r="T96">
        <v>4.4999999999999997E-3</v>
      </c>
      <c r="U96">
        <v>0.5</v>
      </c>
    </row>
    <row r="97" spans="1:21" x14ac:dyDescent="0.25">
      <c r="A97" t="str">
        <f t="shared" si="1"/>
        <v>1⁄2-32 or 0.5000-32 UN CLASS 3</v>
      </c>
      <c r="B97" t="s">
        <v>431</v>
      </c>
      <c r="C97" t="s">
        <v>337</v>
      </c>
      <c r="D97" t="s">
        <v>432</v>
      </c>
      <c r="E97" t="s">
        <v>396</v>
      </c>
      <c r="F97" t="s">
        <v>342</v>
      </c>
      <c r="G97">
        <v>0</v>
      </c>
      <c r="H97">
        <v>0.5</v>
      </c>
      <c r="I97">
        <v>0.49399999999999999</v>
      </c>
      <c r="J97">
        <v>0</v>
      </c>
      <c r="K97">
        <v>0.47970000000000002</v>
      </c>
      <c r="L97">
        <v>0.47710000000000002</v>
      </c>
      <c r="M97">
        <v>2.5999999999999999E-3</v>
      </c>
      <c r="N97">
        <v>0.46279999999999999</v>
      </c>
      <c r="O97" t="s">
        <v>343</v>
      </c>
      <c r="P97">
        <v>0.46600000000000003</v>
      </c>
      <c r="Q97">
        <v>0.47189999999999999</v>
      </c>
      <c r="R97">
        <v>0.47970000000000002</v>
      </c>
      <c r="S97">
        <v>0.48309999999999997</v>
      </c>
      <c r="T97">
        <v>3.3999999999999998E-3</v>
      </c>
      <c r="U97">
        <v>0.5</v>
      </c>
    </row>
    <row r="98" spans="1:21" x14ac:dyDescent="0.25">
      <c r="A98" t="str">
        <f t="shared" si="1"/>
        <v>9⁄16-12 or 0.5625-12 UNC CLASS 1</v>
      </c>
      <c r="B98" t="s">
        <v>433</v>
      </c>
      <c r="C98" t="s">
        <v>337</v>
      </c>
      <c r="D98" t="s">
        <v>434</v>
      </c>
      <c r="E98" t="s">
        <v>346</v>
      </c>
      <c r="F98" t="s">
        <v>386</v>
      </c>
      <c r="G98">
        <v>1.6000000000000001E-3</v>
      </c>
      <c r="H98">
        <v>0.56089999999999995</v>
      </c>
      <c r="I98">
        <v>0.54369999999999996</v>
      </c>
      <c r="J98">
        <v>0</v>
      </c>
      <c r="K98">
        <v>0.50680000000000003</v>
      </c>
      <c r="L98">
        <v>0.499</v>
      </c>
      <c r="M98">
        <v>7.7999999999999996E-3</v>
      </c>
      <c r="N98">
        <v>0.4617</v>
      </c>
      <c r="O98" t="s">
        <v>387</v>
      </c>
      <c r="P98">
        <v>0.47199999999999998</v>
      </c>
      <c r="Q98">
        <v>0.49</v>
      </c>
      <c r="R98">
        <v>0.50839999999999996</v>
      </c>
      <c r="S98">
        <v>0.51859999999999995</v>
      </c>
      <c r="T98">
        <v>1.0200000000000001E-2</v>
      </c>
      <c r="U98">
        <v>0.5625</v>
      </c>
    </row>
    <row r="99" spans="1:21" x14ac:dyDescent="0.25">
      <c r="A99" t="str">
        <f t="shared" si="1"/>
        <v>9⁄16-12 or 0.5625-12 UNC CLASS 2</v>
      </c>
      <c r="B99" t="s">
        <v>433</v>
      </c>
      <c r="C99" t="s">
        <v>337</v>
      </c>
      <c r="D99" t="s">
        <v>434</v>
      </c>
      <c r="E99" t="s">
        <v>346</v>
      </c>
      <c r="F99" t="s">
        <v>340</v>
      </c>
      <c r="G99">
        <v>1.6000000000000001E-3</v>
      </c>
      <c r="H99">
        <v>0.56089999999999995</v>
      </c>
      <c r="I99">
        <v>0.54949999999999999</v>
      </c>
      <c r="J99">
        <v>0.54369999999999996</v>
      </c>
      <c r="K99">
        <v>0.50680000000000003</v>
      </c>
      <c r="L99">
        <v>0.50160000000000005</v>
      </c>
      <c r="M99">
        <v>5.2249999999999996E-3</v>
      </c>
      <c r="N99">
        <v>0.4617</v>
      </c>
      <c r="O99" t="s">
        <v>341</v>
      </c>
      <c r="P99">
        <v>0.47199999999999998</v>
      </c>
      <c r="Q99">
        <v>0.49</v>
      </c>
      <c r="R99">
        <v>0.50839999999999996</v>
      </c>
      <c r="S99">
        <v>0.51519999999999999</v>
      </c>
      <c r="T99">
        <v>6.7999999999999996E-3</v>
      </c>
      <c r="U99">
        <v>0.5625</v>
      </c>
    </row>
    <row r="100" spans="1:21" x14ac:dyDescent="0.25">
      <c r="A100" t="str">
        <f t="shared" si="1"/>
        <v>9⁄16-12 or 0.5625-12 UNC CLASS 3</v>
      </c>
      <c r="B100" t="s">
        <v>433</v>
      </c>
      <c r="C100" t="s">
        <v>337</v>
      </c>
      <c r="D100" t="s">
        <v>434</v>
      </c>
      <c r="E100" t="s">
        <v>346</v>
      </c>
      <c r="F100" t="s">
        <v>342</v>
      </c>
      <c r="G100">
        <v>0</v>
      </c>
      <c r="H100">
        <v>0.5625</v>
      </c>
      <c r="I100">
        <v>0.55110000000000003</v>
      </c>
      <c r="J100">
        <v>0</v>
      </c>
      <c r="K100">
        <v>0.50839999999999996</v>
      </c>
      <c r="L100">
        <v>0.50449999999999995</v>
      </c>
      <c r="M100">
        <v>3.8999999999999998E-3</v>
      </c>
      <c r="N100">
        <v>0.46329999999999999</v>
      </c>
      <c r="O100" t="s">
        <v>343</v>
      </c>
      <c r="P100">
        <v>0.47199999999999998</v>
      </c>
      <c r="Q100">
        <v>0.48430000000000001</v>
      </c>
      <c r="R100">
        <v>0.50839999999999996</v>
      </c>
      <c r="S100">
        <v>0.51349999999999996</v>
      </c>
      <c r="T100">
        <v>5.1000000000000004E-3</v>
      </c>
      <c r="U100">
        <v>0.5625</v>
      </c>
    </row>
    <row r="101" spans="1:21" x14ac:dyDescent="0.25">
      <c r="A101" t="str">
        <f t="shared" si="1"/>
        <v>9⁄16-16 or 0.5625-16 UN CLASS 2</v>
      </c>
      <c r="B101" t="s">
        <v>435</v>
      </c>
      <c r="C101" t="s">
        <v>337</v>
      </c>
      <c r="D101" t="s">
        <v>436</v>
      </c>
      <c r="E101" t="s">
        <v>396</v>
      </c>
      <c r="F101" t="s">
        <v>340</v>
      </c>
      <c r="G101">
        <v>1.4E-3</v>
      </c>
      <c r="H101">
        <v>0.56110000000000004</v>
      </c>
      <c r="I101">
        <v>0.55169999999999997</v>
      </c>
      <c r="J101">
        <v>0</v>
      </c>
      <c r="K101">
        <v>0.52049999999999996</v>
      </c>
      <c r="L101">
        <v>0.51580000000000004</v>
      </c>
      <c r="M101">
        <v>4.725E-3</v>
      </c>
      <c r="N101">
        <v>0.48670000000000002</v>
      </c>
      <c r="O101" t="s">
        <v>341</v>
      </c>
      <c r="P101">
        <v>0.495</v>
      </c>
      <c r="Q101">
        <v>0.50900000000000001</v>
      </c>
      <c r="R101">
        <v>0.52190000000000003</v>
      </c>
      <c r="S101">
        <v>0.52800000000000002</v>
      </c>
      <c r="T101">
        <v>6.1000000000000004E-3</v>
      </c>
      <c r="U101">
        <v>0.5625</v>
      </c>
    </row>
    <row r="102" spans="1:21" x14ac:dyDescent="0.25">
      <c r="A102" t="str">
        <f t="shared" si="1"/>
        <v>9⁄16-16 or 0.5625-16 UN CLASS 3</v>
      </c>
      <c r="B102" t="s">
        <v>435</v>
      </c>
      <c r="C102" t="s">
        <v>337</v>
      </c>
      <c r="D102" t="s">
        <v>436</v>
      </c>
      <c r="E102" t="s">
        <v>396</v>
      </c>
      <c r="F102" t="s">
        <v>342</v>
      </c>
      <c r="G102">
        <v>0</v>
      </c>
      <c r="H102">
        <v>0.5625</v>
      </c>
      <c r="I102">
        <v>0.55310000000000004</v>
      </c>
      <c r="J102">
        <v>0</v>
      </c>
      <c r="K102">
        <v>0.52190000000000003</v>
      </c>
      <c r="L102">
        <v>0.51839999999999997</v>
      </c>
      <c r="M102">
        <v>3.5000000000000001E-3</v>
      </c>
      <c r="N102">
        <v>0.48809999999999998</v>
      </c>
      <c r="O102" t="s">
        <v>343</v>
      </c>
      <c r="P102">
        <v>0.495</v>
      </c>
      <c r="Q102">
        <v>0.50409999999999999</v>
      </c>
      <c r="R102">
        <v>0.52190000000000003</v>
      </c>
      <c r="S102">
        <v>0.52649999999999997</v>
      </c>
      <c r="T102">
        <v>4.5999999999999999E-3</v>
      </c>
      <c r="U102">
        <v>0.5625</v>
      </c>
    </row>
    <row r="103" spans="1:21" x14ac:dyDescent="0.25">
      <c r="A103" t="str">
        <f t="shared" si="1"/>
        <v>9⁄16-18 or 0.5625-18 UNF CLASS 1</v>
      </c>
      <c r="B103" t="s">
        <v>437</v>
      </c>
      <c r="C103" t="s">
        <v>337</v>
      </c>
      <c r="D103" t="s">
        <v>438</v>
      </c>
      <c r="E103" t="s">
        <v>339</v>
      </c>
      <c r="F103" t="s">
        <v>386</v>
      </c>
      <c r="G103">
        <v>1.4E-3</v>
      </c>
      <c r="H103">
        <v>0.56110000000000004</v>
      </c>
      <c r="I103">
        <v>0.54800000000000004</v>
      </c>
      <c r="J103">
        <v>0</v>
      </c>
      <c r="K103">
        <v>0.52500000000000002</v>
      </c>
      <c r="L103">
        <v>0.51819999999999999</v>
      </c>
      <c r="M103">
        <v>6.7999999999999996E-3</v>
      </c>
      <c r="N103">
        <v>0.49490000000000001</v>
      </c>
      <c r="O103" t="s">
        <v>387</v>
      </c>
      <c r="P103">
        <v>0.502</v>
      </c>
      <c r="Q103">
        <v>0.51500000000000001</v>
      </c>
      <c r="R103">
        <v>0.52639999999999998</v>
      </c>
      <c r="S103">
        <v>0.5353</v>
      </c>
      <c r="T103">
        <v>8.8999999999999999E-3</v>
      </c>
      <c r="U103">
        <v>0.5625</v>
      </c>
    </row>
    <row r="104" spans="1:21" x14ac:dyDescent="0.25">
      <c r="A104" t="str">
        <f t="shared" si="1"/>
        <v>9⁄16-18 or 0.5625-18 UNF CLASS 2</v>
      </c>
      <c r="B104" t="s">
        <v>437</v>
      </c>
      <c r="C104" t="s">
        <v>337</v>
      </c>
      <c r="D104" t="s">
        <v>438</v>
      </c>
      <c r="E104" t="s">
        <v>339</v>
      </c>
      <c r="F104" t="s">
        <v>340</v>
      </c>
      <c r="G104">
        <v>1.4E-3</v>
      </c>
      <c r="H104">
        <v>0.56110000000000004</v>
      </c>
      <c r="I104">
        <v>0.5524</v>
      </c>
      <c r="J104">
        <v>0</v>
      </c>
      <c r="K104">
        <v>0.52500000000000002</v>
      </c>
      <c r="L104">
        <v>0.52049999999999996</v>
      </c>
      <c r="M104">
        <v>4.5469999999999998E-3</v>
      </c>
      <c r="N104">
        <v>0.49490000000000001</v>
      </c>
      <c r="O104" t="s">
        <v>341</v>
      </c>
      <c r="P104">
        <v>0.502</v>
      </c>
      <c r="Q104">
        <v>0.51500000000000001</v>
      </c>
      <c r="R104">
        <v>0.52639999999999998</v>
      </c>
      <c r="S104">
        <v>0.5323</v>
      </c>
      <c r="T104">
        <v>5.8999999999999999E-3</v>
      </c>
      <c r="U104">
        <v>0.5625</v>
      </c>
    </row>
    <row r="105" spans="1:21" x14ac:dyDescent="0.25">
      <c r="A105" t="str">
        <f t="shared" si="1"/>
        <v>9⁄16-18 or 0.5625-18 UNF CLASS 3</v>
      </c>
      <c r="B105" t="s">
        <v>437</v>
      </c>
      <c r="C105" t="s">
        <v>337</v>
      </c>
      <c r="D105" t="s">
        <v>438</v>
      </c>
      <c r="E105" t="s">
        <v>339</v>
      </c>
      <c r="F105" t="s">
        <v>342</v>
      </c>
      <c r="G105">
        <v>0</v>
      </c>
      <c r="H105">
        <v>0.5625</v>
      </c>
      <c r="I105">
        <v>0.55379999999999996</v>
      </c>
      <c r="J105">
        <v>0</v>
      </c>
      <c r="K105">
        <v>0.52639999999999998</v>
      </c>
      <c r="L105">
        <v>0.52300000000000002</v>
      </c>
      <c r="M105">
        <v>3.3999999999999998E-3</v>
      </c>
      <c r="N105">
        <v>0.49630000000000002</v>
      </c>
      <c r="O105" t="s">
        <v>343</v>
      </c>
      <c r="P105">
        <v>0.502</v>
      </c>
      <c r="Q105">
        <v>0.51060000000000005</v>
      </c>
      <c r="R105">
        <v>0.52639999999999998</v>
      </c>
      <c r="S105">
        <v>0.53080000000000005</v>
      </c>
      <c r="T105">
        <v>4.4000000000000003E-3</v>
      </c>
      <c r="U105">
        <v>0.5625</v>
      </c>
    </row>
    <row r="106" spans="1:21" x14ac:dyDescent="0.25">
      <c r="A106" t="str">
        <f t="shared" si="1"/>
        <v>9⁄16-20 or 0.5625-20 UN CLASS 2</v>
      </c>
      <c r="B106" t="s">
        <v>439</v>
      </c>
      <c r="C106" t="s">
        <v>337</v>
      </c>
      <c r="D106" t="s">
        <v>440</v>
      </c>
      <c r="E106" t="s">
        <v>396</v>
      </c>
      <c r="F106" t="s">
        <v>340</v>
      </c>
      <c r="G106">
        <v>1.2999999999999999E-3</v>
      </c>
      <c r="H106">
        <v>0.56120000000000003</v>
      </c>
      <c r="I106">
        <v>0.55310000000000004</v>
      </c>
      <c r="J106">
        <v>0</v>
      </c>
      <c r="K106">
        <v>0.52869999999999995</v>
      </c>
      <c r="L106">
        <v>0.52439999999999998</v>
      </c>
      <c r="M106">
        <v>4.28E-3</v>
      </c>
      <c r="N106">
        <v>0.50170000000000003</v>
      </c>
      <c r="O106" t="s">
        <v>341</v>
      </c>
      <c r="P106">
        <v>0.50800000000000001</v>
      </c>
      <c r="Q106">
        <v>0.52</v>
      </c>
      <c r="R106">
        <v>0.53</v>
      </c>
      <c r="S106">
        <v>0.53559999999999997</v>
      </c>
      <c r="T106">
        <v>5.5999999999999999E-3</v>
      </c>
      <c r="U106">
        <v>0.5625</v>
      </c>
    </row>
    <row r="107" spans="1:21" x14ac:dyDescent="0.25">
      <c r="A107" t="str">
        <f t="shared" si="1"/>
        <v>9⁄16-20 or 0.5625-20 UN CLASS 3</v>
      </c>
      <c r="B107" t="s">
        <v>439</v>
      </c>
      <c r="C107" t="s">
        <v>337</v>
      </c>
      <c r="D107" t="s">
        <v>440</v>
      </c>
      <c r="E107" t="s">
        <v>396</v>
      </c>
      <c r="F107" t="s">
        <v>342</v>
      </c>
      <c r="G107">
        <v>0</v>
      </c>
      <c r="H107">
        <v>0.5625</v>
      </c>
      <c r="I107">
        <v>0.5544</v>
      </c>
      <c r="J107">
        <v>0</v>
      </c>
      <c r="K107">
        <v>0.53</v>
      </c>
      <c r="L107">
        <v>0.52680000000000005</v>
      </c>
      <c r="M107">
        <v>3.2000000000000002E-3</v>
      </c>
      <c r="N107">
        <v>0.503</v>
      </c>
      <c r="O107" t="s">
        <v>343</v>
      </c>
      <c r="P107">
        <v>0.50800000000000001</v>
      </c>
      <c r="Q107">
        <v>0.5161</v>
      </c>
      <c r="R107">
        <v>0.53</v>
      </c>
      <c r="S107">
        <v>0.53420000000000001</v>
      </c>
      <c r="T107">
        <v>4.1999999999999997E-3</v>
      </c>
      <c r="U107">
        <v>0.5625</v>
      </c>
    </row>
    <row r="108" spans="1:21" x14ac:dyDescent="0.25">
      <c r="A108" t="str">
        <f t="shared" si="1"/>
        <v>9⁄16-24 or 0.5625-24 UNEF CLASS 2</v>
      </c>
      <c r="B108" t="s">
        <v>441</v>
      </c>
      <c r="C108" t="s">
        <v>337</v>
      </c>
      <c r="D108" t="s">
        <v>442</v>
      </c>
      <c r="E108" t="s">
        <v>383</v>
      </c>
      <c r="F108" t="s">
        <v>340</v>
      </c>
      <c r="G108">
        <v>1.1999999999999999E-3</v>
      </c>
      <c r="H108">
        <v>0.56130000000000002</v>
      </c>
      <c r="I108">
        <v>0.55410000000000004</v>
      </c>
      <c r="J108">
        <v>0</v>
      </c>
      <c r="K108">
        <v>0.53420000000000001</v>
      </c>
      <c r="L108">
        <v>0.5302</v>
      </c>
      <c r="M108">
        <v>3.96E-3</v>
      </c>
      <c r="N108">
        <v>0.51170000000000004</v>
      </c>
      <c r="O108" t="s">
        <v>341</v>
      </c>
      <c r="P108">
        <v>0.51700000000000002</v>
      </c>
      <c r="Q108">
        <v>0.52700000000000002</v>
      </c>
      <c r="R108">
        <v>0.53539999999999999</v>
      </c>
      <c r="S108">
        <v>0.54049999999999998</v>
      </c>
      <c r="T108">
        <v>5.1000000000000004E-3</v>
      </c>
      <c r="U108">
        <v>0.5625</v>
      </c>
    </row>
    <row r="109" spans="1:21" x14ac:dyDescent="0.25">
      <c r="A109" t="str">
        <f t="shared" si="1"/>
        <v>9⁄16-24 or 0.5625-24 UNEF CLASS 3</v>
      </c>
      <c r="B109" t="s">
        <v>441</v>
      </c>
      <c r="C109" t="s">
        <v>337</v>
      </c>
      <c r="D109" t="s">
        <v>442</v>
      </c>
      <c r="E109" t="s">
        <v>383</v>
      </c>
      <c r="F109" t="s">
        <v>342</v>
      </c>
      <c r="G109">
        <v>0</v>
      </c>
      <c r="H109">
        <v>0.5625</v>
      </c>
      <c r="I109">
        <v>0.55530000000000002</v>
      </c>
      <c r="J109">
        <v>0</v>
      </c>
      <c r="K109">
        <v>0.53539999999999999</v>
      </c>
      <c r="L109">
        <v>0.53239999999999998</v>
      </c>
      <c r="M109">
        <v>3.0000000000000001E-3</v>
      </c>
      <c r="N109">
        <v>0.51290000000000002</v>
      </c>
      <c r="O109" t="s">
        <v>343</v>
      </c>
      <c r="P109">
        <v>0.51700000000000002</v>
      </c>
      <c r="Q109">
        <v>0.52439999999999998</v>
      </c>
      <c r="R109">
        <v>0.53539999999999999</v>
      </c>
      <c r="S109">
        <v>0.5393</v>
      </c>
      <c r="T109">
        <v>3.8999999999999998E-3</v>
      </c>
      <c r="U109">
        <v>0.5625</v>
      </c>
    </row>
  </sheetData>
  <pageMargins left="0.7" right="0.7" top="0.75" bottom="0.75" header="0.3" footer="0.3"/>
  <pageSetup paperSize="145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51676-BB6C-4119-804E-4F2902B93906}">
  <sheetPr codeName="Sheet7"/>
  <dimension ref="A1:W172"/>
  <sheetViews>
    <sheetView zoomScaleNormal="100" workbookViewId="0">
      <selection activeCell="B56" sqref="B56"/>
    </sheetView>
  </sheetViews>
  <sheetFormatPr defaultRowHeight="15" x14ac:dyDescent="0.25"/>
  <cols>
    <col min="1" max="1" width="23" customWidth="1"/>
    <col min="2" max="2" width="30.5703125" customWidth="1"/>
    <col min="3" max="3" width="20.5703125" customWidth="1"/>
    <col min="4" max="4" width="21.5703125" customWidth="1"/>
    <col min="5" max="5" width="20.7109375" customWidth="1"/>
    <col min="6" max="6" width="21.5703125" customWidth="1"/>
    <col min="7" max="7" width="20.7109375" customWidth="1"/>
    <col min="8" max="8" width="20.42578125" customWidth="1"/>
    <col min="9" max="9" width="22.28515625" customWidth="1"/>
    <col min="10" max="10" width="21" customWidth="1"/>
    <col min="11" max="11" width="22.28515625" customWidth="1"/>
    <col min="12" max="12" width="21" customWidth="1"/>
    <col min="13" max="13" width="23.5703125" customWidth="1"/>
    <col min="14" max="14" width="29.7109375" customWidth="1"/>
    <col min="15" max="15" width="26.42578125" customWidth="1"/>
    <col min="16" max="16" width="29.7109375" customWidth="1"/>
    <col min="17" max="17" width="26.7109375" customWidth="1"/>
    <col min="18" max="18" width="26.42578125" customWidth="1"/>
    <col min="19" max="19" width="41.5703125" customWidth="1"/>
    <col min="20" max="20" width="55.7109375" customWidth="1"/>
    <col min="21" max="21" width="51" bestFit="1" customWidth="1"/>
    <col min="22" max="22" width="54.140625" customWidth="1"/>
    <col min="23" max="23" width="49.7109375" customWidth="1"/>
  </cols>
  <sheetData>
    <row r="1" spans="1:21" x14ac:dyDescent="0.25">
      <c r="A1" t="s">
        <v>482</v>
      </c>
    </row>
    <row r="2" spans="1:21" x14ac:dyDescent="0.25">
      <c r="A2" s="18" t="s">
        <v>483</v>
      </c>
      <c r="B2" s="19" t="s">
        <v>484</v>
      </c>
      <c r="C2" s="19" t="s">
        <v>485</v>
      </c>
      <c r="D2" s="19" t="s">
        <v>538</v>
      </c>
      <c r="E2" s="19" t="s">
        <v>486</v>
      </c>
      <c r="F2" s="19" t="s">
        <v>487</v>
      </c>
      <c r="G2" s="19" t="s">
        <v>488</v>
      </c>
      <c r="H2" s="19" t="s">
        <v>489</v>
      </c>
      <c r="I2" s="19" t="s">
        <v>490</v>
      </c>
      <c r="J2" s="19" t="s">
        <v>491</v>
      </c>
      <c r="K2" s="19" t="s">
        <v>492</v>
      </c>
      <c r="L2" s="19" t="s">
        <v>493</v>
      </c>
      <c r="M2" s="19" t="s">
        <v>494</v>
      </c>
      <c r="N2" s="19" t="s">
        <v>530</v>
      </c>
      <c r="O2" s="19" t="s">
        <v>531</v>
      </c>
      <c r="P2" s="19" t="s">
        <v>532</v>
      </c>
      <c r="Q2" s="19" t="s">
        <v>533</v>
      </c>
      <c r="R2" s="19" t="s">
        <v>534</v>
      </c>
      <c r="S2" s="19" t="s">
        <v>535</v>
      </c>
      <c r="T2" s="19" t="s">
        <v>536</v>
      </c>
      <c r="U2" s="20" t="s">
        <v>537</v>
      </c>
    </row>
    <row r="3" spans="1:21" x14ac:dyDescent="0.25">
      <c r="A3" s="16" t="s">
        <v>495</v>
      </c>
      <c r="B3" s="8" t="s">
        <v>513</v>
      </c>
      <c r="C3" s="8">
        <v>7.2999999999999995E-2</v>
      </c>
      <c r="D3" s="8">
        <v>6.9500000000000006E-2</v>
      </c>
      <c r="E3" s="8">
        <v>0.11799999999999999</v>
      </c>
      <c r="F3" s="8">
        <v>0.112</v>
      </c>
      <c r="G3" s="8">
        <v>7.2999999999999995E-2</v>
      </c>
      <c r="H3" s="8">
        <v>7.0000000000000007E-2</v>
      </c>
      <c r="I3" s="8">
        <v>6.6000000000000003E-2</v>
      </c>
      <c r="J3" s="8">
        <v>6.2E-2</v>
      </c>
      <c r="K3" s="8">
        <v>3.1E-2</v>
      </c>
      <c r="L3" s="8">
        <v>2.5000000000000001E-2</v>
      </c>
      <c r="M3" s="8">
        <v>3.0000000000000001E-3</v>
      </c>
      <c r="N3" s="8">
        <v>0.625</v>
      </c>
      <c r="O3" s="8"/>
      <c r="P3" s="8"/>
      <c r="Q3" s="8"/>
      <c r="R3" s="8"/>
      <c r="S3" s="8">
        <v>470</v>
      </c>
      <c r="T3" s="8">
        <v>210</v>
      </c>
      <c r="U3" s="17">
        <v>412</v>
      </c>
    </row>
    <row r="4" spans="1:21" x14ac:dyDescent="0.25">
      <c r="A4" s="16" t="s">
        <v>496</v>
      </c>
      <c r="B4" s="8" t="s">
        <v>514</v>
      </c>
      <c r="C4" s="8">
        <v>8.5999999999999993E-2</v>
      </c>
      <c r="D4" s="8">
        <v>8.2199999999999995E-2</v>
      </c>
      <c r="E4" s="8">
        <v>0.14000000000000001</v>
      </c>
      <c r="F4" s="8">
        <v>0.13400000000000001</v>
      </c>
      <c r="G4" s="8">
        <v>8.5999999999999993E-2</v>
      </c>
      <c r="H4" s="8">
        <v>8.3000000000000004E-2</v>
      </c>
      <c r="I4" s="8">
        <v>7.6999999999999999E-2</v>
      </c>
      <c r="J4" s="8">
        <v>7.8E-2</v>
      </c>
      <c r="K4" s="8">
        <v>3.7999999999999999E-2</v>
      </c>
      <c r="L4" s="8">
        <v>2.9000000000000001E-2</v>
      </c>
      <c r="M4" s="8">
        <v>3.0000000000000001E-3</v>
      </c>
      <c r="N4" s="8">
        <v>0.625</v>
      </c>
      <c r="O4" s="8"/>
      <c r="P4" s="8"/>
      <c r="Q4" s="8"/>
      <c r="R4" s="8"/>
      <c r="S4" s="8">
        <v>665</v>
      </c>
      <c r="T4" s="8">
        <v>300</v>
      </c>
      <c r="U4" s="17">
        <v>592</v>
      </c>
    </row>
    <row r="5" spans="1:21" x14ac:dyDescent="0.25">
      <c r="A5" s="16" t="s">
        <v>497</v>
      </c>
      <c r="B5" s="8" t="s">
        <v>515</v>
      </c>
      <c r="C5" s="8">
        <v>9.9000000000000005E-2</v>
      </c>
      <c r="D5" s="8">
        <v>9.4899999999999998E-2</v>
      </c>
      <c r="E5" s="8">
        <v>0.161</v>
      </c>
      <c r="F5" s="8">
        <v>0.154</v>
      </c>
      <c r="G5" s="8">
        <v>9.9000000000000005E-2</v>
      </c>
      <c r="H5" s="8">
        <v>9.5000000000000001E-2</v>
      </c>
      <c r="I5" s="8">
        <v>8.8999999999999996E-2</v>
      </c>
      <c r="J5" s="8">
        <v>7.8E-2</v>
      </c>
      <c r="K5" s="8">
        <v>4.3999999999999997E-2</v>
      </c>
      <c r="L5" s="8">
        <v>3.4000000000000002E-2</v>
      </c>
      <c r="M5" s="8">
        <v>3.0000000000000001E-3</v>
      </c>
      <c r="N5" s="8">
        <v>0.625</v>
      </c>
      <c r="O5" s="8"/>
      <c r="P5" s="8"/>
      <c r="Q5" s="8"/>
      <c r="R5" s="8"/>
      <c r="S5" s="8">
        <v>875</v>
      </c>
      <c r="T5" s="8">
        <v>390</v>
      </c>
      <c r="U5" s="17">
        <v>780</v>
      </c>
    </row>
    <row r="6" spans="1:21" x14ac:dyDescent="0.25">
      <c r="A6" s="16" t="s">
        <v>498</v>
      </c>
      <c r="B6" s="8" t="s">
        <v>516</v>
      </c>
      <c r="C6" s="8">
        <v>0.112</v>
      </c>
      <c r="D6" s="8">
        <v>0.1075</v>
      </c>
      <c r="E6" s="8">
        <v>0.183</v>
      </c>
      <c r="F6" s="8">
        <v>0.17599999999999999</v>
      </c>
      <c r="G6" s="8">
        <v>0.112</v>
      </c>
      <c r="H6" s="8">
        <v>0.108</v>
      </c>
      <c r="I6" s="8">
        <v>0.10100000000000001</v>
      </c>
      <c r="J6" s="8">
        <v>9.4E-2</v>
      </c>
      <c r="K6" s="8">
        <v>5.0999999999999997E-2</v>
      </c>
      <c r="L6" s="8">
        <v>3.7999999999999999E-2</v>
      </c>
      <c r="M6" s="8">
        <v>5.0000000000000001E-3</v>
      </c>
      <c r="N6" s="8">
        <v>0.75</v>
      </c>
      <c r="O6" s="8">
        <v>0.04</v>
      </c>
      <c r="P6" s="8">
        <v>2.5999999999999999E-2</v>
      </c>
      <c r="Q6" s="8">
        <v>3.9E-2</v>
      </c>
      <c r="R6" s="8">
        <v>3.3000000000000002E-2</v>
      </c>
      <c r="S6" s="8">
        <v>1090</v>
      </c>
      <c r="T6" s="8">
        <v>480</v>
      </c>
      <c r="U6" s="17">
        <v>966</v>
      </c>
    </row>
    <row r="7" spans="1:21" x14ac:dyDescent="0.25">
      <c r="A7" s="16" t="s">
        <v>499</v>
      </c>
      <c r="B7" s="8" t="s">
        <v>517</v>
      </c>
      <c r="C7" s="8">
        <v>0.13800000000000001</v>
      </c>
      <c r="D7" s="8">
        <v>0.13289999999999999</v>
      </c>
      <c r="E7" s="8">
        <v>0.22600000000000001</v>
      </c>
      <c r="F7" s="8">
        <v>0.218</v>
      </c>
      <c r="G7" s="8">
        <v>0.13800000000000001</v>
      </c>
      <c r="H7" s="8">
        <v>0.13400000000000001</v>
      </c>
      <c r="I7" s="8">
        <v>0.124</v>
      </c>
      <c r="J7" s="8">
        <v>0.109</v>
      </c>
      <c r="K7" s="8">
        <v>6.4000000000000001E-2</v>
      </c>
      <c r="L7" s="8">
        <v>4.7E-2</v>
      </c>
      <c r="M7" s="8">
        <v>5.0000000000000001E-3</v>
      </c>
      <c r="N7" s="8">
        <v>0.75</v>
      </c>
      <c r="O7" s="8">
        <v>0.05</v>
      </c>
      <c r="P7" s="8">
        <v>3.5000000000000003E-2</v>
      </c>
      <c r="Q7" s="8">
        <v>3.9E-2</v>
      </c>
      <c r="R7" s="8">
        <v>3.3000000000000002E-2</v>
      </c>
      <c r="S7" s="8">
        <v>1640</v>
      </c>
      <c r="T7" s="8">
        <v>730</v>
      </c>
      <c r="U7" s="17">
        <v>1458</v>
      </c>
    </row>
    <row r="8" spans="1:21" x14ac:dyDescent="0.25">
      <c r="A8" s="16" t="s">
        <v>500</v>
      </c>
      <c r="B8" s="8" t="s">
        <v>518</v>
      </c>
      <c r="C8" s="8">
        <v>0.16400000000000001</v>
      </c>
      <c r="D8" s="8">
        <v>0.1585</v>
      </c>
      <c r="E8" s="8">
        <v>0.27</v>
      </c>
      <c r="F8" s="8">
        <v>0.26200000000000001</v>
      </c>
      <c r="G8" s="8">
        <v>0.16400000000000001</v>
      </c>
      <c r="H8" s="8">
        <v>0.159</v>
      </c>
      <c r="I8" s="8">
        <v>0.14799999999999999</v>
      </c>
      <c r="J8" s="8">
        <v>0.14099999999999999</v>
      </c>
      <c r="K8" s="8">
        <v>7.6999999999999999E-2</v>
      </c>
      <c r="L8" s="8">
        <v>5.6000000000000001E-2</v>
      </c>
      <c r="M8" s="8">
        <v>5.0000000000000001E-3</v>
      </c>
      <c r="N8" s="8">
        <v>0.875</v>
      </c>
      <c r="O8" s="8">
        <v>0.06</v>
      </c>
      <c r="P8" s="8">
        <v>0.04</v>
      </c>
      <c r="Q8" s="8">
        <v>0.05</v>
      </c>
      <c r="R8" s="8">
        <v>4.3999999999999997E-2</v>
      </c>
      <c r="S8" s="8">
        <v>2520</v>
      </c>
      <c r="T8" s="8">
        <v>1120</v>
      </c>
      <c r="U8" s="17">
        <v>2240</v>
      </c>
    </row>
    <row r="9" spans="1:21" x14ac:dyDescent="0.25">
      <c r="A9" s="16" t="s">
        <v>501</v>
      </c>
      <c r="B9" s="8" t="s">
        <v>519</v>
      </c>
      <c r="C9" s="8">
        <v>0.19</v>
      </c>
      <c r="D9" s="8">
        <v>0.184</v>
      </c>
      <c r="E9" s="8">
        <v>0.312</v>
      </c>
      <c r="F9" s="8">
        <v>0.30299999999999999</v>
      </c>
      <c r="G9" s="8">
        <v>0.19</v>
      </c>
      <c r="H9" s="8">
        <v>0.185</v>
      </c>
      <c r="I9" s="8">
        <v>0.17100000000000001</v>
      </c>
      <c r="J9" s="8">
        <v>0.156</v>
      </c>
      <c r="K9" s="8">
        <v>0.09</v>
      </c>
      <c r="L9" s="8">
        <v>6.5000000000000002E-2</v>
      </c>
      <c r="M9" s="8">
        <v>5.0000000000000001E-3</v>
      </c>
      <c r="N9" s="8">
        <v>0.875</v>
      </c>
      <c r="O9" s="8">
        <v>6.5000000000000002E-2</v>
      </c>
      <c r="P9" s="8">
        <v>4.4999999999999998E-2</v>
      </c>
      <c r="Q9" s="8">
        <v>0.05</v>
      </c>
      <c r="R9" s="8">
        <v>4.3999999999999997E-2</v>
      </c>
      <c r="S9" s="8">
        <v>3150</v>
      </c>
      <c r="T9" s="8">
        <v>1400</v>
      </c>
      <c r="U9" s="17">
        <v>2800</v>
      </c>
    </row>
    <row r="10" spans="1:21" x14ac:dyDescent="0.25">
      <c r="A10" s="16" t="s">
        <v>502</v>
      </c>
      <c r="B10" s="8" t="s">
        <v>444</v>
      </c>
      <c r="C10" s="8">
        <v>0.25</v>
      </c>
      <c r="D10" s="8">
        <v>0.24349999999999999</v>
      </c>
      <c r="E10" s="8">
        <v>0.375</v>
      </c>
      <c r="F10" s="8">
        <v>0.36499999999999999</v>
      </c>
      <c r="G10" s="8">
        <v>0.25</v>
      </c>
      <c r="H10" s="8">
        <v>0.24399999999999999</v>
      </c>
      <c r="I10" s="8">
        <v>0.22500000000000001</v>
      </c>
      <c r="J10" s="8">
        <v>0.188</v>
      </c>
      <c r="K10" s="8">
        <v>0.12</v>
      </c>
      <c r="L10" s="8">
        <v>9.5000000000000001E-2</v>
      </c>
      <c r="M10" s="8">
        <v>8.0000000000000002E-3</v>
      </c>
      <c r="N10" s="8">
        <v>1</v>
      </c>
      <c r="O10" s="8">
        <v>8.5000000000000006E-2</v>
      </c>
      <c r="P10" s="8">
        <v>6.5000000000000002E-2</v>
      </c>
      <c r="Q10" s="8">
        <v>0.05</v>
      </c>
      <c r="R10" s="8">
        <v>4.3999999999999997E-2</v>
      </c>
      <c r="S10" s="8">
        <v>5700</v>
      </c>
      <c r="T10" s="8">
        <v>2540</v>
      </c>
      <c r="U10" s="17">
        <v>5090</v>
      </c>
    </row>
    <row r="11" spans="1:21" x14ac:dyDescent="0.25">
      <c r="A11" s="16" t="s">
        <v>503</v>
      </c>
      <c r="B11" s="8" t="s">
        <v>520</v>
      </c>
      <c r="C11" s="8">
        <v>0.3125</v>
      </c>
      <c r="D11" s="8">
        <v>0.30530000000000002</v>
      </c>
      <c r="E11" s="8">
        <v>0.46899999999999997</v>
      </c>
      <c r="F11" s="8">
        <v>0.45700000000000002</v>
      </c>
      <c r="G11" s="8">
        <v>0.312</v>
      </c>
      <c r="H11" s="8">
        <v>0.30599999999999999</v>
      </c>
      <c r="I11" s="8">
        <v>0.28100000000000003</v>
      </c>
      <c r="J11" s="8">
        <v>0.25</v>
      </c>
      <c r="K11" s="8">
        <v>0.151</v>
      </c>
      <c r="L11" s="8">
        <v>0.11899999999999999</v>
      </c>
      <c r="M11" s="8">
        <v>8.0000000000000002E-3</v>
      </c>
      <c r="N11" s="8">
        <v>1.125</v>
      </c>
      <c r="O11" s="8">
        <v>0.104</v>
      </c>
      <c r="P11" s="8">
        <v>8.4000000000000005E-2</v>
      </c>
      <c r="Q11" s="8">
        <v>0.05</v>
      </c>
      <c r="R11" s="8">
        <v>4.3999999999999997E-2</v>
      </c>
      <c r="S11" s="8">
        <v>9400</v>
      </c>
      <c r="T11" s="8">
        <v>4190</v>
      </c>
      <c r="U11" s="17">
        <v>8380</v>
      </c>
    </row>
    <row r="12" spans="1:21" x14ac:dyDescent="0.25">
      <c r="A12" s="16" t="s">
        <v>504</v>
      </c>
      <c r="B12" s="8" t="s">
        <v>521</v>
      </c>
      <c r="C12" s="8">
        <v>0.375</v>
      </c>
      <c r="D12" s="8">
        <v>0.36780000000000002</v>
      </c>
      <c r="E12" s="8">
        <v>0.56200000000000006</v>
      </c>
      <c r="F12" s="8">
        <v>0.55000000000000004</v>
      </c>
      <c r="G12" s="8">
        <v>0.375</v>
      </c>
      <c r="H12" s="8">
        <v>0.36799999999999999</v>
      </c>
      <c r="I12" s="8">
        <v>0.33700000000000002</v>
      </c>
      <c r="J12" s="8">
        <v>0.312</v>
      </c>
      <c r="K12" s="8">
        <v>0.182</v>
      </c>
      <c r="L12" s="8">
        <v>0.14299999999999999</v>
      </c>
      <c r="M12" s="8">
        <v>8.0000000000000002E-3</v>
      </c>
      <c r="N12" s="8">
        <v>1.25</v>
      </c>
      <c r="O12" s="8">
        <v>0.123</v>
      </c>
      <c r="P12" s="8">
        <v>0.10299999999999999</v>
      </c>
      <c r="Q12" s="8">
        <v>6.7000000000000004E-2</v>
      </c>
      <c r="R12" s="8">
        <v>6.0999999999999999E-2</v>
      </c>
      <c r="S12" s="8">
        <v>13900</v>
      </c>
      <c r="T12" s="8">
        <v>6200</v>
      </c>
      <c r="U12" s="17">
        <v>12410</v>
      </c>
    </row>
    <row r="13" spans="1:21" x14ac:dyDescent="0.25">
      <c r="A13" s="16" t="s">
        <v>505</v>
      </c>
      <c r="B13" s="8" t="s">
        <v>522</v>
      </c>
      <c r="C13" s="8">
        <v>0.4375</v>
      </c>
      <c r="D13" s="8">
        <v>0.4294</v>
      </c>
      <c r="E13" s="8">
        <v>0.65600000000000003</v>
      </c>
      <c r="F13" s="8">
        <v>0.64200000000000002</v>
      </c>
      <c r="G13" s="8">
        <v>0.437</v>
      </c>
      <c r="H13" s="8">
        <v>0.43</v>
      </c>
      <c r="I13" s="8">
        <v>0.39400000000000002</v>
      </c>
      <c r="J13" s="8">
        <v>0.375</v>
      </c>
      <c r="K13" s="8">
        <v>0.21299999999999999</v>
      </c>
      <c r="L13" s="8">
        <v>0.16600000000000001</v>
      </c>
      <c r="M13" s="8">
        <v>0.01</v>
      </c>
      <c r="N13" s="8">
        <v>1.375</v>
      </c>
      <c r="O13" s="8">
        <v>0.14099999999999999</v>
      </c>
      <c r="P13" s="8">
        <v>0.121</v>
      </c>
      <c r="Q13" s="8">
        <v>6.7000000000000004E-2</v>
      </c>
      <c r="R13" s="8">
        <v>6.0999999999999999E-2</v>
      </c>
      <c r="S13" s="8">
        <v>19100</v>
      </c>
      <c r="T13" s="8">
        <v>8500</v>
      </c>
      <c r="U13" s="17">
        <v>17010</v>
      </c>
    </row>
    <row r="14" spans="1:21" x14ac:dyDescent="0.25">
      <c r="A14" s="16" t="s">
        <v>506</v>
      </c>
      <c r="B14" s="8" t="s">
        <v>523</v>
      </c>
      <c r="C14" s="8">
        <v>0.5</v>
      </c>
      <c r="D14" s="8">
        <v>0.4919</v>
      </c>
      <c r="E14" s="8">
        <v>0.75</v>
      </c>
      <c r="F14" s="8">
        <v>0.73499999999999999</v>
      </c>
      <c r="G14" s="8">
        <v>0.5</v>
      </c>
      <c r="H14" s="8">
        <v>0.49199999999999999</v>
      </c>
      <c r="I14" s="8">
        <v>0.45</v>
      </c>
      <c r="J14" s="8">
        <v>0.375</v>
      </c>
      <c r="K14" s="8">
        <v>0.245</v>
      </c>
      <c r="L14" s="8">
        <v>0.19</v>
      </c>
      <c r="M14" s="8">
        <v>0.01</v>
      </c>
      <c r="N14" s="8">
        <v>1.5</v>
      </c>
      <c r="O14" s="8">
        <v>0.16</v>
      </c>
      <c r="P14" s="8">
        <v>0.14000000000000001</v>
      </c>
      <c r="Q14" s="8">
        <v>6.7000000000000004E-2</v>
      </c>
      <c r="R14" s="8">
        <v>6.0999999999999999E-2</v>
      </c>
      <c r="S14" s="8">
        <v>25500</v>
      </c>
      <c r="T14" s="8">
        <v>11300</v>
      </c>
      <c r="U14" s="17">
        <v>22700</v>
      </c>
    </row>
    <row r="15" spans="1:21" x14ac:dyDescent="0.25">
      <c r="A15" s="16" t="s">
        <v>507</v>
      </c>
      <c r="B15" s="14" t="s">
        <v>524</v>
      </c>
      <c r="C15" s="8">
        <v>0.625</v>
      </c>
      <c r="D15" s="8">
        <v>0.61629999999999996</v>
      </c>
      <c r="E15" s="8">
        <v>0.93700000000000006</v>
      </c>
      <c r="F15" s="8">
        <v>0.92100000000000004</v>
      </c>
      <c r="G15" s="8">
        <v>0.625</v>
      </c>
      <c r="H15" s="8">
        <v>0.61599999999999999</v>
      </c>
      <c r="I15" s="8">
        <v>0.56200000000000006</v>
      </c>
      <c r="J15" s="8">
        <v>0.5</v>
      </c>
      <c r="K15" s="8">
        <v>0.307</v>
      </c>
      <c r="L15" s="8">
        <v>0.23799999999999999</v>
      </c>
      <c r="M15" s="8">
        <v>0.01</v>
      </c>
      <c r="N15" s="8">
        <v>1.75</v>
      </c>
      <c r="O15" s="8">
        <v>0.19800000000000001</v>
      </c>
      <c r="P15" s="8">
        <v>0.17799999999999999</v>
      </c>
      <c r="Q15" s="8">
        <v>6.7000000000000004E-2</v>
      </c>
      <c r="R15" s="8">
        <v>6.0999999999999999E-2</v>
      </c>
      <c r="S15" s="8">
        <v>38400</v>
      </c>
      <c r="T15" s="8">
        <v>18100</v>
      </c>
      <c r="U15" s="17">
        <v>36200</v>
      </c>
    </row>
    <row r="16" spans="1:21" x14ac:dyDescent="0.25">
      <c r="A16" s="16" t="s">
        <v>508</v>
      </c>
      <c r="B16" s="14" t="s">
        <v>525</v>
      </c>
      <c r="C16" s="8">
        <v>0.75</v>
      </c>
      <c r="D16" s="8">
        <v>0.74060000000000004</v>
      </c>
      <c r="E16" s="8">
        <v>1.125</v>
      </c>
      <c r="F16" s="8">
        <v>1.107</v>
      </c>
      <c r="G16" s="8">
        <v>0.75</v>
      </c>
      <c r="H16" s="8">
        <v>0.74</v>
      </c>
      <c r="I16" s="8">
        <v>0.67500000000000004</v>
      </c>
      <c r="J16" s="8">
        <v>0.625</v>
      </c>
      <c r="K16" s="8">
        <v>0.37</v>
      </c>
      <c r="L16" s="8">
        <v>0.28499999999999998</v>
      </c>
      <c r="M16" s="8">
        <v>0.01</v>
      </c>
      <c r="N16" s="8">
        <v>2</v>
      </c>
      <c r="O16" s="8">
        <v>0.23499999999999999</v>
      </c>
      <c r="P16" s="8">
        <v>0.215</v>
      </c>
      <c r="Q16" s="8">
        <v>9.7000000000000003E-2</v>
      </c>
      <c r="R16" s="8">
        <v>9.0999999999999998E-2</v>
      </c>
      <c r="S16" s="8">
        <v>56800</v>
      </c>
      <c r="T16" s="8">
        <v>23400</v>
      </c>
      <c r="U16" s="17">
        <v>53500</v>
      </c>
    </row>
    <row r="17" spans="1:23" x14ac:dyDescent="0.25">
      <c r="A17" s="16" t="s">
        <v>509</v>
      </c>
      <c r="B17" s="14" t="s">
        <v>526</v>
      </c>
      <c r="C17" s="8">
        <v>0.875</v>
      </c>
      <c r="D17" s="8">
        <v>0.86470000000000002</v>
      </c>
      <c r="E17" s="8">
        <v>1.3120000000000001</v>
      </c>
      <c r="F17" s="8">
        <v>1.2929999999999999</v>
      </c>
      <c r="G17" s="8">
        <v>0.875</v>
      </c>
      <c r="H17" s="8">
        <v>0.86399999999999999</v>
      </c>
      <c r="I17" s="8">
        <v>0.78700000000000003</v>
      </c>
      <c r="J17" s="8">
        <v>0.75</v>
      </c>
      <c r="K17" s="8">
        <v>0.432</v>
      </c>
      <c r="L17" s="8">
        <v>0.33300000000000002</v>
      </c>
      <c r="M17" s="8">
        <v>1.4999999999999999E-2</v>
      </c>
      <c r="N17" s="8">
        <v>2.25</v>
      </c>
      <c r="O17" s="8">
        <v>0.27300000000000002</v>
      </c>
      <c r="P17" s="8">
        <v>0.253</v>
      </c>
      <c r="Q17" s="8">
        <v>9.7000000000000003E-2</v>
      </c>
      <c r="R17" s="8">
        <v>9.0999999999999998E-2</v>
      </c>
      <c r="S17" s="8">
        <v>78500</v>
      </c>
      <c r="T17" s="8">
        <v>32300</v>
      </c>
      <c r="U17" s="17">
        <v>73900</v>
      </c>
    </row>
    <row r="18" spans="1:23" x14ac:dyDescent="0.25">
      <c r="A18" s="16" t="s">
        <v>510</v>
      </c>
      <c r="B18" s="14" t="s">
        <v>527</v>
      </c>
      <c r="C18" s="8">
        <v>1</v>
      </c>
      <c r="D18" s="8">
        <v>0.98860000000000003</v>
      </c>
      <c r="E18" s="8">
        <v>1.5</v>
      </c>
      <c r="F18" s="8">
        <v>1.4790000000000001</v>
      </c>
      <c r="G18" s="8">
        <v>1</v>
      </c>
      <c r="H18" s="8">
        <v>0.98799999999999999</v>
      </c>
      <c r="I18" s="8">
        <v>0.9</v>
      </c>
      <c r="J18" s="8">
        <v>0.75</v>
      </c>
      <c r="K18" s="8">
        <v>0.495</v>
      </c>
      <c r="L18" s="8">
        <v>0.38</v>
      </c>
      <c r="M18" s="8">
        <v>1.4999999999999999E-2</v>
      </c>
      <c r="N18" s="8">
        <v>2.5</v>
      </c>
      <c r="O18" s="8">
        <v>0.31</v>
      </c>
      <c r="P18" s="8">
        <v>0.28999999999999998</v>
      </c>
      <c r="Q18" s="8">
        <v>9.7000000000000003E-2</v>
      </c>
      <c r="R18" s="8">
        <v>9.0999999999999998E-2</v>
      </c>
      <c r="S18" s="8">
        <v>103000</v>
      </c>
      <c r="T18" s="8">
        <v>42400</v>
      </c>
      <c r="U18" s="17">
        <v>96950</v>
      </c>
    </row>
    <row r="19" spans="1:23" x14ac:dyDescent="0.25">
      <c r="A19" s="16" t="s">
        <v>511</v>
      </c>
      <c r="B19" s="14" t="s">
        <v>528</v>
      </c>
      <c r="C19" s="8">
        <v>1.25</v>
      </c>
      <c r="D19" s="8">
        <v>1.2336</v>
      </c>
      <c r="E19" s="8">
        <v>1.875</v>
      </c>
      <c r="F19" s="8">
        <v>1.8520000000000001</v>
      </c>
      <c r="G19" s="8">
        <v>1.25</v>
      </c>
      <c r="H19" s="8">
        <v>1.236</v>
      </c>
      <c r="I19" s="8">
        <v>1.125</v>
      </c>
      <c r="J19" s="8">
        <v>0.875</v>
      </c>
      <c r="K19" s="8">
        <v>0.62</v>
      </c>
      <c r="L19" s="8">
        <v>0.47499999999999998</v>
      </c>
      <c r="M19" s="8">
        <v>1.4999999999999999E-2</v>
      </c>
      <c r="N19" s="8">
        <v>3.125</v>
      </c>
      <c r="O19" s="8"/>
      <c r="P19" s="8"/>
      <c r="Q19" s="8"/>
      <c r="R19" s="8"/>
      <c r="S19" s="8">
        <v>165000</v>
      </c>
      <c r="T19" s="8">
        <v>67800</v>
      </c>
      <c r="U19" s="17">
        <v>155100</v>
      </c>
    </row>
    <row r="20" spans="1:23" ht="14.25" customHeight="1" x14ac:dyDescent="0.25">
      <c r="A20" s="21" t="s">
        <v>512</v>
      </c>
      <c r="B20" s="22" t="s">
        <v>529</v>
      </c>
      <c r="C20" s="23">
        <v>1.5</v>
      </c>
      <c r="D20" s="23">
        <v>1.4818</v>
      </c>
      <c r="E20" s="23">
        <v>2.25</v>
      </c>
      <c r="F20" s="23">
        <v>2.2240000000000002</v>
      </c>
      <c r="G20" s="23">
        <v>1.5</v>
      </c>
      <c r="H20" s="23">
        <v>1.4850000000000001</v>
      </c>
      <c r="I20" s="23">
        <v>1.35</v>
      </c>
      <c r="J20" s="23">
        <v>1</v>
      </c>
      <c r="K20" s="23">
        <v>0.745</v>
      </c>
      <c r="L20" s="23">
        <v>0.56999999999999995</v>
      </c>
      <c r="M20" s="23">
        <v>1.4999999999999999E-2</v>
      </c>
      <c r="N20" s="23">
        <v>3.75</v>
      </c>
      <c r="O20" s="23"/>
      <c r="P20" s="23"/>
      <c r="Q20" s="23"/>
      <c r="R20" s="23"/>
      <c r="S20" s="23">
        <v>239000</v>
      </c>
      <c r="T20" s="23">
        <v>98300</v>
      </c>
      <c r="U20" s="24">
        <v>225000</v>
      </c>
    </row>
    <row r="21" spans="1:23" x14ac:dyDescent="0.25">
      <c r="A21" s="25"/>
      <c r="B21" s="23"/>
      <c r="C21" s="23"/>
      <c r="D21" s="23"/>
      <c r="F21" s="23" t="e" cm="1">
        <f t="array" ref="F21">Read_NAS1352()</f>
        <v>#VALUE!</v>
      </c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4"/>
    </row>
    <row r="22" spans="1:23" x14ac:dyDescent="0.25">
      <c r="A22" s="27" t="s">
        <v>539</v>
      </c>
      <c r="B22" s="28" t="s">
        <v>691</v>
      </c>
      <c r="C22" s="28" t="s">
        <v>690</v>
      </c>
      <c r="D22" s="29" t="s">
        <v>484</v>
      </c>
      <c r="E22" s="29" t="s">
        <v>485</v>
      </c>
      <c r="F22" s="29" t="s">
        <v>538</v>
      </c>
      <c r="G22" s="29" t="s">
        <v>486</v>
      </c>
      <c r="H22" s="29" t="s">
        <v>487</v>
      </c>
      <c r="I22" s="29" t="s">
        <v>488</v>
      </c>
      <c r="J22" s="29" t="s">
        <v>489</v>
      </c>
      <c r="K22" s="29" t="s">
        <v>490</v>
      </c>
      <c r="L22" s="29" t="s">
        <v>491</v>
      </c>
      <c r="M22" s="29" t="s">
        <v>492</v>
      </c>
      <c r="N22" s="29" t="s">
        <v>493</v>
      </c>
      <c r="O22" s="29" t="s">
        <v>494</v>
      </c>
      <c r="P22" s="29" t="s">
        <v>530</v>
      </c>
      <c r="Q22" s="29" t="s">
        <v>531</v>
      </c>
      <c r="R22" s="29" t="s">
        <v>532</v>
      </c>
      <c r="S22" s="29" t="s">
        <v>533</v>
      </c>
      <c r="T22" s="29" t="s">
        <v>534</v>
      </c>
      <c r="U22" s="29" t="s">
        <v>535</v>
      </c>
      <c r="V22" s="29" t="s">
        <v>536</v>
      </c>
      <c r="W22" s="30" t="s">
        <v>537</v>
      </c>
    </row>
    <row r="23" spans="1:23" x14ac:dyDescent="0.25">
      <c r="A23" s="15" t="s">
        <v>540</v>
      </c>
      <c r="B23" s="8" t="str">
        <f>LEFT(RIGHT(A23,LEN(A23)-SEARCH("-",A23)),SEARCH("~*",RIGHT(A23,LEN(A23)-SEARCH("-",A23)))-1)</f>
        <v>01</v>
      </c>
      <c r="C23" s="8">
        <f t="shared" ref="C23:C54" si="0">_xlfn.NUMBERVALUE(RIGHT(A23,LEN(A23)-SEARCH("~*",A23)))/16</f>
        <v>0.125</v>
      </c>
      <c r="D23" s="8" t="str" cm="1">
        <f t="array" ref="D23">VLOOKUP($B23,NAS1352First[],COLUMN(NAS1352First[Thread Size]),FALSE)</f>
        <v>1–64 or 0.073–64 UNC CLASS 3</v>
      </c>
      <c r="E23" s="8" cm="1">
        <f t="array" ref="E23">VLOOKUP($B23,NAS1352First[],COLUMN(NAS1352First[Body Diameter Max]),FALSE)</f>
        <v>7.2999999999999995E-2</v>
      </c>
      <c r="F23" s="8" cm="1">
        <f t="array" ref="F23">VLOOKUP($B23,NAS1352First[],COLUMN(NAS1352First[Body Diameter Max2]),FALSE)</f>
        <v>6.9500000000000006E-2</v>
      </c>
      <c r="G23" s="8" cm="1">
        <f t="array" ref="G23">VLOOKUP($B23,NAS1352First[],COLUMN(NAS1352First[Head Diameter Max]),FALSE)</f>
        <v>0.11799999999999999</v>
      </c>
      <c r="H23" s="8" cm="1">
        <f t="array" ref="H23">VLOOKUP($B23,NAS1352First[],COLUMN(NAS1352First[Head Diameter Min]),FALSE)</f>
        <v>0.112</v>
      </c>
      <c r="I23" s="8" cm="1">
        <f t="array" ref="I23">VLOOKUP($B23,NAS1352First[],COLUMN(NAS1352First[Head Height Max]),FALSE)</f>
        <v>7.2999999999999995E-2</v>
      </c>
      <c r="J23" s="8" cm="1">
        <f t="array" ref="J23">VLOOKUP($B23,NAS1352First[],COLUMN(NAS1352First[Head Height Min]),FALSE)</f>
        <v>7.0000000000000007E-2</v>
      </c>
      <c r="K23" s="8" cm="1">
        <f t="array" ref="K23">VLOOKUP($B23,NAS1352First[],COLUMN(NAS1352First[Head Side Height Min]),FALSE)</f>
        <v>6.6000000000000003E-2</v>
      </c>
      <c r="L23" s="8" cm="1">
        <f t="array" ref="L23">VLOOKUP($B23,NAS1352First[],COLUMN(NAS1352First[Nominal Socket Size]),FALSE)</f>
        <v>6.2E-2</v>
      </c>
      <c r="M23" s="8" cm="1">
        <f t="array" ref="M23">VLOOKUP($B23,NAS1352First[],COLUMN(NAS1352First[Key Engagement Min]),FALSE)</f>
        <v>3.1E-2</v>
      </c>
      <c r="N23" s="8" cm="1">
        <f t="array" ref="N23">VLOOKUP($B23,NAS1352First[],COLUMN(NAS1352First[Wall Thickness Min]),FALSE)</f>
        <v>2.5000000000000001E-2</v>
      </c>
      <c r="O23" s="8" cm="1">
        <f t="array" ref="O23">VLOOKUP($B23,NAS1352First[],COLUMN(NAS1352First[Chamfer or Radius Max]),FALSE)</f>
        <v>3.0000000000000001E-3</v>
      </c>
      <c r="P23" s="8" cm="1">
        <f t="array" ref="P23">VLOOKUP($B23,NAS1352First[],COLUMN(NAS1352First[Minimum Basic Thread Length]),FALSE)</f>
        <v>0.625</v>
      </c>
      <c r="Q23" s="8" cm="1">
        <f t="array" ref="Q23">VLOOKUP($B23,NAS1352First[],COLUMN(NAS1352First[Drilled Hole Location Max]),FALSE)</f>
        <v>0</v>
      </c>
      <c r="R23" s="8" cm="1">
        <f t="array" ref="R23">VLOOKUP($B23,NAS1352First[],COLUMN(NAS1352First[Drilled Hole Location Min]),FALSE)</f>
        <v>0</v>
      </c>
      <c r="S23" s="8" cm="1">
        <f t="array" ref="S23">VLOOKUP($B23,NAS1352First[],COLUMN(NAS1352First[Drilled Hole Diameter Max]),FALSE)</f>
        <v>0</v>
      </c>
      <c r="T23" s="8" cm="1">
        <f t="array" ref="T23">VLOOKUP($B23,NAS1352First[],COLUMN(NAS1352First[Drilled Hole Diameter Min]),FALSE)</f>
        <v>0</v>
      </c>
      <c r="U23" s="8" cm="1">
        <f t="array" ref="U23">VLOOKUP($B23,NAS1352First[],COLUMN(NAS1352First[Alloy Steel Minimum Breaking Strength (lb)]),FALSE)</f>
        <v>470</v>
      </c>
      <c r="V23" s="8" cm="1">
        <f t="array" ref="V23">VLOOKUP($B23,NAS1352First[],COLUMN(NAS1352First[Corrosion Resistant Steel Minimum Breaking Strength (lb)]),FALSE)</f>
        <v>210</v>
      </c>
      <c r="W23" s="17" cm="1">
        <f t="array" ref="W23">VLOOKUP($B23,NAS1352First[],COLUMN(NAS1352First[Heat Resistant Steel Minimum Breaking Strength (lb)]),FALSE)</f>
        <v>412</v>
      </c>
    </row>
    <row r="24" spans="1:23" x14ac:dyDescent="0.25">
      <c r="A24" s="15" t="s">
        <v>541</v>
      </c>
      <c r="B24" s="8" t="str">
        <f t="shared" ref="B24:B87" si="1">LEFT(RIGHT(A24,LEN(A24)-SEARCH("-",A24)),SEARCH("~*",RIGHT(A24,LEN(A24)-SEARCH("-",A24)))-1)</f>
        <v>01</v>
      </c>
      <c r="C24" s="8">
        <f t="shared" si="0"/>
        <v>0.1875</v>
      </c>
      <c r="D24" s="8" t="str" cm="1">
        <f t="array" ref="D24">VLOOKUP($B24,NAS1352First[],COLUMN(NAS1352First[Thread Size]),FALSE)</f>
        <v>1–64 or 0.073–64 UNC CLASS 3</v>
      </c>
      <c r="E24" s="8" cm="1">
        <f t="array" ref="E24">VLOOKUP($B24,NAS1352First[],COLUMN(NAS1352First[Body Diameter Max]),FALSE)</f>
        <v>7.2999999999999995E-2</v>
      </c>
      <c r="F24" s="8" cm="1">
        <f t="array" ref="F24">VLOOKUP($B24,NAS1352First[],COLUMN(NAS1352First[Body Diameter Max2]),FALSE)</f>
        <v>6.9500000000000006E-2</v>
      </c>
      <c r="G24" s="8" cm="1">
        <f t="array" ref="G24">VLOOKUP($B24,NAS1352First[],COLUMN(NAS1352First[Head Diameter Max]),FALSE)</f>
        <v>0.11799999999999999</v>
      </c>
      <c r="H24" s="8" cm="1">
        <f t="array" ref="H24">VLOOKUP($B24,NAS1352First[],COLUMN(NAS1352First[Head Diameter Min]),FALSE)</f>
        <v>0.112</v>
      </c>
      <c r="I24" s="8" cm="1">
        <f t="array" ref="I24">VLOOKUP($B24,NAS1352First[],COLUMN(NAS1352First[Head Height Max]),FALSE)</f>
        <v>7.2999999999999995E-2</v>
      </c>
      <c r="J24" s="8" cm="1">
        <f t="array" ref="J24">VLOOKUP($B24,NAS1352First[],COLUMN(NAS1352First[Head Height Min]),FALSE)</f>
        <v>7.0000000000000007E-2</v>
      </c>
      <c r="K24" s="8" cm="1">
        <f t="array" ref="K24">VLOOKUP($B24,NAS1352First[],COLUMN(NAS1352First[Head Side Height Min]),FALSE)</f>
        <v>6.6000000000000003E-2</v>
      </c>
      <c r="L24" s="8" cm="1">
        <f t="array" ref="L24">VLOOKUP($B24,NAS1352First[],COLUMN(NAS1352First[Nominal Socket Size]),FALSE)</f>
        <v>6.2E-2</v>
      </c>
      <c r="M24" s="8" cm="1">
        <f t="array" ref="M24">VLOOKUP($B24,NAS1352First[],COLUMN(NAS1352First[Key Engagement Min]),FALSE)</f>
        <v>3.1E-2</v>
      </c>
      <c r="N24" s="8" cm="1">
        <f t="array" ref="N24">VLOOKUP($B24,NAS1352First[],COLUMN(NAS1352First[Wall Thickness Min]),FALSE)</f>
        <v>2.5000000000000001E-2</v>
      </c>
      <c r="O24" s="8" cm="1">
        <f t="array" ref="O24">VLOOKUP($B24,NAS1352First[],COLUMN(NAS1352First[Chamfer or Radius Max]),FALSE)</f>
        <v>3.0000000000000001E-3</v>
      </c>
      <c r="P24" s="8" cm="1">
        <f t="array" ref="P24">VLOOKUP($B24,NAS1352First[],COLUMN(NAS1352First[Minimum Basic Thread Length]),FALSE)</f>
        <v>0.625</v>
      </c>
      <c r="Q24" s="8" cm="1">
        <f t="array" ref="Q24">VLOOKUP($B24,NAS1352First[],COLUMN(NAS1352First[Drilled Hole Location Max]),FALSE)</f>
        <v>0</v>
      </c>
      <c r="R24" s="8" cm="1">
        <f t="array" ref="R24">VLOOKUP($B24,NAS1352First[],COLUMN(NAS1352First[Drilled Hole Location Min]),FALSE)</f>
        <v>0</v>
      </c>
      <c r="S24" s="8" cm="1">
        <f t="array" ref="S24">VLOOKUP($B24,NAS1352First[],COLUMN(NAS1352First[Drilled Hole Diameter Max]),FALSE)</f>
        <v>0</v>
      </c>
      <c r="T24" s="8" cm="1">
        <f t="array" ref="T24">VLOOKUP($B24,NAS1352First[],COLUMN(NAS1352First[Drilled Hole Diameter Min]),FALSE)</f>
        <v>0</v>
      </c>
      <c r="U24" s="8" cm="1">
        <f t="array" ref="U24">VLOOKUP($B24,NAS1352First[],COLUMN(NAS1352First[Alloy Steel Minimum Breaking Strength (lb)]),FALSE)</f>
        <v>470</v>
      </c>
      <c r="V24" s="8" cm="1">
        <f t="array" ref="V24">VLOOKUP($B24,NAS1352First[],COLUMN(NAS1352First[Corrosion Resistant Steel Minimum Breaking Strength (lb)]),FALSE)</f>
        <v>210</v>
      </c>
      <c r="W24" s="17" cm="1">
        <f t="array" ref="W24">VLOOKUP($B24,NAS1352First[],COLUMN(NAS1352First[Heat Resistant Steel Minimum Breaking Strength (lb)]),FALSE)</f>
        <v>412</v>
      </c>
    </row>
    <row r="25" spans="1:23" x14ac:dyDescent="0.25">
      <c r="A25" s="15" t="s">
        <v>542</v>
      </c>
      <c r="B25" s="8" t="str">
        <f t="shared" si="1"/>
        <v>01</v>
      </c>
      <c r="C25" s="8">
        <f t="shared" si="0"/>
        <v>0.25</v>
      </c>
      <c r="D25" s="8" t="str" cm="1">
        <f t="array" ref="D25">VLOOKUP($B25,NAS1352First[],COLUMN(NAS1352First[Thread Size]),FALSE)</f>
        <v>1–64 or 0.073–64 UNC CLASS 3</v>
      </c>
      <c r="E25" s="8" cm="1">
        <f t="array" ref="E25">VLOOKUP($B25,NAS1352First[],COLUMN(NAS1352First[Body Diameter Max]),FALSE)</f>
        <v>7.2999999999999995E-2</v>
      </c>
      <c r="F25" s="8" cm="1">
        <f t="array" ref="F25">VLOOKUP($B25,NAS1352First[],COLUMN(NAS1352First[Body Diameter Max2]),FALSE)</f>
        <v>6.9500000000000006E-2</v>
      </c>
      <c r="G25" s="8" cm="1">
        <f t="array" ref="G25">VLOOKUP($B25,NAS1352First[],COLUMN(NAS1352First[Head Diameter Max]),FALSE)</f>
        <v>0.11799999999999999</v>
      </c>
      <c r="H25" s="8" cm="1">
        <f t="array" ref="H25">VLOOKUP($B25,NAS1352First[],COLUMN(NAS1352First[Head Diameter Min]),FALSE)</f>
        <v>0.112</v>
      </c>
      <c r="I25" s="8" cm="1">
        <f t="array" ref="I25">VLOOKUP($B25,NAS1352First[],COLUMN(NAS1352First[Head Height Max]),FALSE)</f>
        <v>7.2999999999999995E-2</v>
      </c>
      <c r="J25" s="8" cm="1">
        <f t="array" ref="J25">VLOOKUP($B25,NAS1352First[],COLUMN(NAS1352First[Head Height Min]),FALSE)</f>
        <v>7.0000000000000007E-2</v>
      </c>
      <c r="K25" s="8" cm="1">
        <f t="array" ref="K25">VLOOKUP($B25,NAS1352First[],COLUMN(NAS1352First[Head Side Height Min]),FALSE)</f>
        <v>6.6000000000000003E-2</v>
      </c>
      <c r="L25" s="8" cm="1">
        <f t="array" ref="L25">VLOOKUP($B25,NAS1352First[],COLUMN(NAS1352First[Nominal Socket Size]),FALSE)</f>
        <v>6.2E-2</v>
      </c>
      <c r="M25" s="8" cm="1">
        <f t="array" ref="M25">VLOOKUP($B25,NAS1352First[],COLUMN(NAS1352First[Key Engagement Min]),FALSE)</f>
        <v>3.1E-2</v>
      </c>
      <c r="N25" s="8" cm="1">
        <f t="array" ref="N25">VLOOKUP($B25,NAS1352First[],COLUMN(NAS1352First[Wall Thickness Min]),FALSE)</f>
        <v>2.5000000000000001E-2</v>
      </c>
      <c r="O25" s="8" cm="1">
        <f t="array" ref="O25">VLOOKUP($B25,NAS1352First[],COLUMN(NAS1352First[Chamfer or Radius Max]),FALSE)</f>
        <v>3.0000000000000001E-3</v>
      </c>
      <c r="P25" s="8" cm="1">
        <f t="array" ref="P25">VLOOKUP($B25,NAS1352First[],COLUMN(NAS1352First[Minimum Basic Thread Length]),FALSE)</f>
        <v>0.625</v>
      </c>
      <c r="Q25" s="8" cm="1">
        <f t="array" ref="Q25">VLOOKUP($B25,NAS1352First[],COLUMN(NAS1352First[Drilled Hole Location Max]),FALSE)</f>
        <v>0</v>
      </c>
      <c r="R25" s="8" cm="1">
        <f t="array" ref="R25">VLOOKUP($B25,NAS1352First[],COLUMN(NAS1352First[Drilled Hole Location Min]),FALSE)</f>
        <v>0</v>
      </c>
      <c r="S25" s="8" cm="1">
        <f t="array" ref="S25">VLOOKUP($B25,NAS1352First[],COLUMN(NAS1352First[Drilled Hole Diameter Max]),FALSE)</f>
        <v>0</v>
      </c>
      <c r="T25" s="8" cm="1">
        <f t="array" ref="T25">VLOOKUP($B25,NAS1352First[],COLUMN(NAS1352First[Drilled Hole Diameter Min]),FALSE)</f>
        <v>0</v>
      </c>
      <c r="U25" s="8" cm="1">
        <f t="array" ref="U25">VLOOKUP($B25,NAS1352First[],COLUMN(NAS1352First[Alloy Steel Minimum Breaking Strength (lb)]),FALSE)</f>
        <v>470</v>
      </c>
      <c r="V25" s="8" cm="1">
        <f t="array" ref="V25">VLOOKUP($B25,NAS1352First[],COLUMN(NAS1352First[Corrosion Resistant Steel Minimum Breaking Strength (lb)]),FALSE)</f>
        <v>210</v>
      </c>
      <c r="W25" s="17" cm="1">
        <f t="array" ref="W25">VLOOKUP($B25,NAS1352First[],COLUMN(NAS1352First[Heat Resistant Steel Minimum Breaking Strength (lb)]),FALSE)</f>
        <v>412</v>
      </c>
    </row>
    <row r="26" spans="1:23" x14ac:dyDescent="0.25">
      <c r="A26" s="15" t="s">
        <v>543</v>
      </c>
      <c r="B26" s="8" t="str">
        <f t="shared" si="1"/>
        <v>01</v>
      </c>
      <c r="C26" s="8">
        <f t="shared" si="0"/>
        <v>0.375</v>
      </c>
      <c r="D26" s="8" t="str" cm="1">
        <f t="array" ref="D26">VLOOKUP($B26,NAS1352First[],COLUMN(NAS1352First[Thread Size]),FALSE)</f>
        <v>1–64 or 0.073–64 UNC CLASS 3</v>
      </c>
      <c r="E26" s="8" cm="1">
        <f t="array" ref="E26">VLOOKUP($B26,NAS1352First[],COLUMN(NAS1352First[Body Diameter Max]),FALSE)</f>
        <v>7.2999999999999995E-2</v>
      </c>
      <c r="F26" s="8" cm="1">
        <f t="array" ref="F26">VLOOKUP($B26,NAS1352First[],COLUMN(NAS1352First[Body Diameter Max2]),FALSE)</f>
        <v>6.9500000000000006E-2</v>
      </c>
      <c r="G26" s="8" cm="1">
        <f t="array" ref="G26">VLOOKUP($B26,NAS1352First[],COLUMN(NAS1352First[Head Diameter Max]),FALSE)</f>
        <v>0.11799999999999999</v>
      </c>
      <c r="H26" s="8" cm="1">
        <f t="array" ref="H26">VLOOKUP($B26,NAS1352First[],COLUMN(NAS1352First[Head Diameter Min]),FALSE)</f>
        <v>0.112</v>
      </c>
      <c r="I26" s="8" cm="1">
        <f t="array" ref="I26">VLOOKUP($B26,NAS1352First[],COLUMN(NAS1352First[Head Height Max]),FALSE)</f>
        <v>7.2999999999999995E-2</v>
      </c>
      <c r="J26" s="8" cm="1">
        <f t="array" ref="J26">VLOOKUP($B26,NAS1352First[],COLUMN(NAS1352First[Head Height Min]),FALSE)</f>
        <v>7.0000000000000007E-2</v>
      </c>
      <c r="K26" s="8" cm="1">
        <f t="array" ref="K26">VLOOKUP($B26,NAS1352First[],COLUMN(NAS1352First[Head Side Height Min]),FALSE)</f>
        <v>6.6000000000000003E-2</v>
      </c>
      <c r="L26" s="8" cm="1">
        <f t="array" ref="L26">VLOOKUP($B26,NAS1352First[],COLUMN(NAS1352First[Nominal Socket Size]),FALSE)</f>
        <v>6.2E-2</v>
      </c>
      <c r="M26" s="8" cm="1">
        <f t="array" ref="M26">VLOOKUP($B26,NAS1352First[],COLUMN(NAS1352First[Key Engagement Min]),FALSE)</f>
        <v>3.1E-2</v>
      </c>
      <c r="N26" s="8" cm="1">
        <f t="array" ref="N26">VLOOKUP($B26,NAS1352First[],COLUMN(NAS1352First[Wall Thickness Min]),FALSE)</f>
        <v>2.5000000000000001E-2</v>
      </c>
      <c r="O26" s="8" cm="1">
        <f t="array" ref="O26">VLOOKUP($B26,NAS1352First[],COLUMN(NAS1352First[Chamfer or Radius Max]),FALSE)</f>
        <v>3.0000000000000001E-3</v>
      </c>
      <c r="P26" s="8" cm="1">
        <f t="array" ref="P26">VLOOKUP($B26,NAS1352First[],COLUMN(NAS1352First[Minimum Basic Thread Length]),FALSE)</f>
        <v>0.625</v>
      </c>
      <c r="Q26" s="8" cm="1">
        <f t="array" ref="Q26">VLOOKUP($B26,NAS1352First[],COLUMN(NAS1352First[Drilled Hole Location Max]),FALSE)</f>
        <v>0</v>
      </c>
      <c r="R26" s="8" cm="1">
        <f t="array" ref="R26">VLOOKUP($B26,NAS1352First[],COLUMN(NAS1352First[Drilled Hole Location Min]),FALSE)</f>
        <v>0</v>
      </c>
      <c r="S26" s="8" cm="1">
        <f t="array" ref="S26">VLOOKUP($B26,NAS1352First[],COLUMN(NAS1352First[Drilled Hole Diameter Max]),FALSE)</f>
        <v>0</v>
      </c>
      <c r="T26" s="8" cm="1">
        <f t="array" ref="T26">VLOOKUP($B26,NAS1352First[],COLUMN(NAS1352First[Drilled Hole Diameter Min]),FALSE)</f>
        <v>0</v>
      </c>
      <c r="U26" s="8" cm="1">
        <f t="array" ref="U26">VLOOKUP($B26,NAS1352First[],COLUMN(NAS1352First[Alloy Steel Minimum Breaking Strength (lb)]),FALSE)</f>
        <v>470</v>
      </c>
      <c r="V26" s="8" cm="1">
        <f t="array" ref="V26">VLOOKUP($B26,NAS1352First[],COLUMN(NAS1352First[Corrosion Resistant Steel Minimum Breaking Strength (lb)]),FALSE)</f>
        <v>210</v>
      </c>
      <c r="W26" s="17" cm="1">
        <f t="array" ref="W26">VLOOKUP($B26,NAS1352First[],COLUMN(NAS1352First[Heat Resistant Steel Minimum Breaking Strength (lb)]),FALSE)</f>
        <v>412</v>
      </c>
    </row>
    <row r="27" spans="1:23" x14ac:dyDescent="0.25">
      <c r="A27" s="15" t="s">
        <v>544</v>
      </c>
      <c r="B27" s="8" t="str">
        <f t="shared" si="1"/>
        <v>02</v>
      </c>
      <c r="C27" s="8">
        <f t="shared" si="0"/>
        <v>0.1875</v>
      </c>
      <c r="D27" s="8" t="str" cm="1">
        <f t="array" ref="D27">VLOOKUP($B27,NAS1352First[],COLUMN(NAS1352First[Thread Size]),FALSE)</f>
        <v>2–56 or 0.086–56 UNC CLASS 3</v>
      </c>
      <c r="E27" s="8" cm="1">
        <f t="array" ref="E27">VLOOKUP($B27,NAS1352First[],COLUMN(NAS1352First[Body Diameter Max]),FALSE)</f>
        <v>8.5999999999999993E-2</v>
      </c>
      <c r="F27" s="8" cm="1">
        <f t="array" ref="F27">VLOOKUP($B27,NAS1352First[],COLUMN(NAS1352First[Body Diameter Max2]),FALSE)</f>
        <v>8.2199999999999995E-2</v>
      </c>
      <c r="G27" s="8" cm="1">
        <f t="array" ref="G27">VLOOKUP($B27,NAS1352First[],COLUMN(NAS1352First[Head Diameter Max]),FALSE)</f>
        <v>0.14000000000000001</v>
      </c>
      <c r="H27" s="8" cm="1">
        <f t="array" ref="H27">VLOOKUP($B27,NAS1352First[],COLUMN(NAS1352First[Head Diameter Min]),FALSE)</f>
        <v>0.13400000000000001</v>
      </c>
      <c r="I27" s="8" cm="1">
        <f t="array" ref="I27">VLOOKUP($B27,NAS1352First[],COLUMN(NAS1352First[Head Height Max]),FALSE)</f>
        <v>8.5999999999999993E-2</v>
      </c>
      <c r="J27" s="8" cm="1">
        <f t="array" ref="J27">VLOOKUP($B27,NAS1352First[],COLUMN(NAS1352First[Head Height Min]),FALSE)</f>
        <v>8.3000000000000004E-2</v>
      </c>
      <c r="K27" s="8" cm="1">
        <f t="array" ref="K27">VLOOKUP($B27,NAS1352First[],COLUMN(NAS1352First[Head Side Height Min]),FALSE)</f>
        <v>7.6999999999999999E-2</v>
      </c>
      <c r="L27" s="8" cm="1">
        <f t="array" ref="L27">VLOOKUP($B27,NAS1352First[],COLUMN(NAS1352First[Nominal Socket Size]),FALSE)</f>
        <v>7.8E-2</v>
      </c>
      <c r="M27" s="8" cm="1">
        <f t="array" ref="M27">VLOOKUP($B27,NAS1352First[],COLUMN(NAS1352First[Key Engagement Min]),FALSE)</f>
        <v>3.7999999999999999E-2</v>
      </c>
      <c r="N27" s="8" cm="1">
        <f t="array" ref="N27">VLOOKUP($B27,NAS1352First[],COLUMN(NAS1352First[Wall Thickness Min]),FALSE)</f>
        <v>2.9000000000000001E-2</v>
      </c>
      <c r="O27" s="8" cm="1">
        <f t="array" ref="O27">VLOOKUP($B27,NAS1352First[],COLUMN(NAS1352First[Chamfer or Radius Max]),FALSE)</f>
        <v>3.0000000000000001E-3</v>
      </c>
      <c r="P27" s="8" cm="1">
        <f t="array" ref="P27">VLOOKUP($B27,NAS1352First[],COLUMN(NAS1352First[Minimum Basic Thread Length]),FALSE)</f>
        <v>0.625</v>
      </c>
      <c r="Q27" s="8" cm="1">
        <f t="array" ref="Q27">VLOOKUP($B27,NAS1352First[],COLUMN(NAS1352First[Drilled Hole Location Max]),FALSE)</f>
        <v>0</v>
      </c>
      <c r="R27" s="8" cm="1">
        <f t="array" ref="R27">VLOOKUP($B27,NAS1352First[],COLUMN(NAS1352First[Drilled Hole Location Min]),FALSE)</f>
        <v>0</v>
      </c>
      <c r="S27" s="8" cm="1">
        <f t="array" ref="S27">VLOOKUP($B27,NAS1352First[],COLUMN(NAS1352First[Drilled Hole Diameter Max]),FALSE)</f>
        <v>0</v>
      </c>
      <c r="T27" s="8" cm="1">
        <f t="array" ref="T27">VLOOKUP($B27,NAS1352First[],COLUMN(NAS1352First[Drilled Hole Diameter Min]),FALSE)</f>
        <v>0</v>
      </c>
      <c r="U27" s="8" cm="1">
        <f t="array" ref="U27">VLOOKUP($B27,NAS1352First[],COLUMN(NAS1352First[Alloy Steel Minimum Breaking Strength (lb)]),FALSE)</f>
        <v>665</v>
      </c>
      <c r="V27" s="8" cm="1">
        <f t="array" ref="V27">VLOOKUP($B27,NAS1352First[],COLUMN(NAS1352First[Corrosion Resistant Steel Minimum Breaking Strength (lb)]),FALSE)</f>
        <v>300</v>
      </c>
      <c r="W27" s="17" cm="1">
        <f t="array" ref="W27">VLOOKUP($B27,NAS1352First[],COLUMN(NAS1352First[Heat Resistant Steel Minimum Breaking Strength (lb)]),FALSE)</f>
        <v>592</v>
      </c>
    </row>
    <row r="28" spans="1:23" x14ac:dyDescent="0.25">
      <c r="A28" s="15" t="s">
        <v>545</v>
      </c>
      <c r="B28" s="8" t="str">
        <f t="shared" si="1"/>
        <v>02</v>
      </c>
      <c r="C28" s="8">
        <f t="shared" si="0"/>
        <v>0.25</v>
      </c>
      <c r="D28" s="8" t="str" cm="1">
        <f t="array" ref="D28">VLOOKUP($B28,NAS1352First[],COLUMN(NAS1352First[Thread Size]),FALSE)</f>
        <v>2–56 or 0.086–56 UNC CLASS 3</v>
      </c>
      <c r="E28" s="8" cm="1">
        <f t="array" ref="E28">VLOOKUP($B28,NAS1352First[],COLUMN(NAS1352First[Body Diameter Max]),FALSE)</f>
        <v>8.5999999999999993E-2</v>
      </c>
      <c r="F28" s="8" cm="1">
        <f t="array" ref="F28">VLOOKUP($B28,NAS1352First[],COLUMN(NAS1352First[Body Diameter Max2]),FALSE)</f>
        <v>8.2199999999999995E-2</v>
      </c>
      <c r="G28" s="8" cm="1">
        <f t="array" ref="G28">VLOOKUP($B28,NAS1352First[],COLUMN(NAS1352First[Head Diameter Max]),FALSE)</f>
        <v>0.14000000000000001</v>
      </c>
      <c r="H28" s="8" cm="1">
        <f t="array" ref="H28">VLOOKUP($B28,NAS1352First[],COLUMN(NAS1352First[Head Diameter Min]),FALSE)</f>
        <v>0.13400000000000001</v>
      </c>
      <c r="I28" s="8" cm="1">
        <f t="array" ref="I28">VLOOKUP($B28,NAS1352First[],COLUMN(NAS1352First[Head Height Max]),FALSE)</f>
        <v>8.5999999999999993E-2</v>
      </c>
      <c r="J28" s="8" cm="1">
        <f t="array" ref="J28">VLOOKUP($B28,NAS1352First[],COLUMN(NAS1352First[Head Height Min]),FALSE)</f>
        <v>8.3000000000000004E-2</v>
      </c>
      <c r="K28" s="8" cm="1">
        <f t="array" ref="K28">VLOOKUP($B28,NAS1352First[],COLUMN(NAS1352First[Head Side Height Min]),FALSE)</f>
        <v>7.6999999999999999E-2</v>
      </c>
      <c r="L28" s="8" cm="1">
        <f t="array" ref="L28">VLOOKUP($B28,NAS1352First[],COLUMN(NAS1352First[Nominal Socket Size]),FALSE)</f>
        <v>7.8E-2</v>
      </c>
      <c r="M28" s="8" cm="1">
        <f t="array" ref="M28">VLOOKUP($B28,NAS1352First[],COLUMN(NAS1352First[Key Engagement Min]),FALSE)</f>
        <v>3.7999999999999999E-2</v>
      </c>
      <c r="N28" s="8" cm="1">
        <f t="array" ref="N28">VLOOKUP($B28,NAS1352First[],COLUMN(NAS1352First[Wall Thickness Min]),FALSE)</f>
        <v>2.9000000000000001E-2</v>
      </c>
      <c r="O28" s="8" cm="1">
        <f t="array" ref="O28">VLOOKUP($B28,NAS1352First[],COLUMN(NAS1352First[Chamfer or Radius Max]),FALSE)</f>
        <v>3.0000000000000001E-3</v>
      </c>
      <c r="P28" s="8" cm="1">
        <f t="array" ref="P28">VLOOKUP($B28,NAS1352First[],COLUMN(NAS1352First[Minimum Basic Thread Length]),FALSE)</f>
        <v>0.625</v>
      </c>
      <c r="Q28" s="8" cm="1">
        <f t="array" ref="Q28">VLOOKUP($B28,NAS1352First[],COLUMN(NAS1352First[Drilled Hole Location Max]),FALSE)</f>
        <v>0</v>
      </c>
      <c r="R28" s="8" cm="1">
        <f t="array" ref="R28">VLOOKUP($B28,NAS1352First[],COLUMN(NAS1352First[Drilled Hole Location Min]),FALSE)</f>
        <v>0</v>
      </c>
      <c r="S28" s="8" cm="1">
        <f t="array" ref="S28">VLOOKUP($B28,NAS1352First[],COLUMN(NAS1352First[Drilled Hole Diameter Max]),FALSE)</f>
        <v>0</v>
      </c>
      <c r="T28" s="8" cm="1">
        <f t="array" ref="T28">VLOOKUP($B28,NAS1352First[],COLUMN(NAS1352First[Drilled Hole Diameter Min]),FALSE)</f>
        <v>0</v>
      </c>
      <c r="U28" s="8" cm="1">
        <f t="array" ref="U28">VLOOKUP($B28,NAS1352First[],COLUMN(NAS1352First[Alloy Steel Minimum Breaking Strength (lb)]),FALSE)</f>
        <v>665</v>
      </c>
      <c r="V28" s="8" cm="1">
        <f t="array" ref="V28">VLOOKUP($B28,NAS1352First[],COLUMN(NAS1352First[Corrosion Resistant Steel Minimum Breaking Strength (lb)]),FALSE)</f>
        <v>300</v>
      </c>
      <c r="W28" s="17" cm="1">
        <f t="array" ref="W28">VLOOKUP($B28,NAS1352First[],COLUMN(NAS1352First[Heat Resistant Steel Minimum Breaking Strength (lb)]),FALSE)</f>
        <v>592</v>
      </c>
    </row>
    <row r="29" spans="1:23" x14ac:dyDescent="0.25">
      <c r="A29" s="15" t="s">
        <v>546</v>
      </c>
      <c r="B29" s="8" t="str">
        <f t="shared" si="1"/>
        <v>02</v>
      </c>
      <c r="C29" s="8">
        <f t="shared" si="0"/>
        <v>0.375</v>
      </c>
      <c r="D29" s="8" t="str" cm="1">
        <f t="array" ref="D29">VLOOKUP($B29,NAS1352First[],COLUMN(NAS1352First[Thread Size]),FALSE)</f>
        <v>2–56 or 0.086–56 UNC CLASS 3</v>
      </c>
      <c r="E29" s="8" cm="1">
        <f t="array" ref="E29">VLOOKUP($B29,NAS1352First[],COLUMN(NAS1352First[Body Diameter Max]),FALSE)</f>
        <v>8.5999999999999993E-2</v>
      </c>
      <c r="F29" s="8" cm="1">
        <f t="array" ref="F29">VLOOKUP($B29,NAS1352First[],COLUMN(NAS1352First[Body Diameter Max2]),FALSE)</f>
        <v>8.2199999999999995E-2</v>
      </c>
      <c r="G29" s="8" cm="1">
        <f t="array" ref="G29">VLOOKUP($B29,NAS1352First[],COLUMN(NAS1352First[Head Diameter Max]),FALSE)</f>
        <v>0.14000000000000001</v>
      </c>
      <c r="H29" s="8" cm="1">
        <f t="array" ref="H29">VLOOKUP($B29,NAS1352First[],COLUMN(NAS1352First[Head Diameter Min]),FALSE)</f>
        <v>0.13400000000000001</v>
      </c>
      <c r="I29" s="8" cm="1">
        <f t="array" ref="I29">VLOOKUP($B29,NAS1352First[],COLUMN(NAS1352First[Head Height Max]),FALSE)</f>
        <v>8.5999999999999993E-2</v>
      </c>
      <c r="J29" s="8" cm="1">
        <f t="array" ref="J29">VLOOKUP($B29,NAS1352First[],COLUMN(NAS1352First[Head Height Min]),FALSE)</f>
        <v>8.3000000000000004E-2</v>
      </c>
      <c r="K29" s="8" cm="1">
        <f t="array" ref="K29">VLOOKUP($B29,NAS1352First[],COLUMN(NAS1352First[Head Side Height Min]),FALSE)</f>
        <v>7.6999999999999999E-2</v>
      </c>
      <c r="L29" s="8" cm="1">
        <f t="array" ref="L29">VLOOKUP($B29,NAS1352First[],COLUMN(NAS1352First[Nominal Socket Size]),FALSE)</f>
        <v>7.8E-2</v>
      </c>
      <c r="M29" s="8" cm="1">
        <f t="array" ref="M29">VLOOKUP($B29,NAS1352First[],COLUMN(NAS1352First[Key Engagement Min]),FALSE)</f>
        <v>3.7999999999999999E-2</v>
      </c>
      <c r="N29" s="8" cm="1">
        <f t="array" ref="N29">VLOOKUP($B29,NAS1352First[],COLUMN(NAS1352First[Wall Thickness Min]),FALSE)</f>
        <v>2.9000000000000001E-2</v>
      </c>
      <c r="O29" s="8" cm="1">
        <f t="array" ref="O29">VLOOKUP($B29,NAS1352First[],COLUMN(NAS1352First[Chamfer or Radius Max]),FALSE)</f>
        <v>3.0000000000000001E-3</v>
      </c>
      <c r="P29" s="8" cm="1">
        <f t="array" ref="P29">VLOOKUP($B29,NAS1352First[],COLUMN(NAS1352First[Minimum Basic Thread Length]),FALSE)</f>
        <v>0.625</v>
      </c>
      <c r="Q29" s="8" cm="1">
        <f t="array" ref="Q29">VLOOKUP($B29,NAS1352First[],COLUMN(NAS1352First[Drilled Hole Location Max]),FALSE)</f>
        <v>0</v>
      </c>
      <c r="R29" s="8" cm="1">
        <f t="array" ref="R29">VLOOKUP($B29,NAS1352First[],COLUMN(NAS1352First[Drilled Hole Location Min]),FALSE)</f>
        <v>0</v>
      </c>
      <c r="S29" s="8" cm="1">
        <f t="array" ref="S29">VLOOKUP($B29,NAS1352First[],COLUMN(NAS1352First[Drilled Hole Diameter Max]),FALSE)</f>
        <v>0</v>
      </c>
      <c r="T29" s="8" cm="1">
        <f t="array" ref="T29">VLOOKUP($B29,NAS1352First[],COLUMN(NAS1352First[Drilled Hole Diameter Min]),FALSE)</f>
        <v>0</v>
      </c>
      <c r="U29" s="8" cm="1">
        <f t="array" ref="U29">VLOOKUP($B29,NAS1352First[],COLUMN(NAS1352First[Alloy Steel Minimum Breaking Strength (lb)]),FALSE)</f>
        <v>665</v>
      </c>
      <c r="V29" s="8" cm="1">
        <f t="array" ref="V29">VLOOKUP($B29,NAS1352First[],COLUMN(NAS1352First[Corrosion Resistant Steel Minimum Breaking Strength (lb)]),FALSE)</f>
        <v>300</v>
      </c>
      <c r="W29" s="17" cm="1">
        <f t="array" ref="W29">VLOOKUP($B29,NAS1352First[],COLUMN(NAS1352First[Heat Resistant Steel Minimum Breaking Strength (lb)]),FALSE)</f>
        <v>592</v>
      </c>
    </row>
    <row r="30" spans="1:23" x14ac:dyDescent="0.25">
      <c r="A30" s="15" t="s">
        <v>547</v>
      </c>
      <c r="B30" s="8" t="str">
        <f t="shared" si="1"/>
        <v>02</v>
      </c>
      <c r="C30" s="8">
        <f t="shared" si="0"/>
        <v>0.5</v>
      </c>
      <c r="D30" s="8" t="str" cm="1">
        <f t="array" ref="D30">VLOOKUP($B30,NAS1352First[],COLUMN(NAS1352First[Thread Size]),FALSE)</f>
        <v>2–56 or 0.086–56 UNC CLASS 3</v>
      </c>
      <c r="E30" s="8" cm="1">
        <f t="array" ref="E30">VLOOKUP($B30,NAS1352First[],COLUMN(NAS1352First[Body Diameter Max]),FALSE)</f>
        <v>8.5999999999999993E-2</v>
      </c>
      <c r="F30" s="8" cm="1">
        <f t="array" ref="F30">VLOOKUP($B30,NAS1352First[],COLUMN(NAS1352First[Body Diameter Max2]),FALSE)</f>
        <v>8.2199999999999995E-2</v>
      </c>
      <c r="G30" s="8" cm="1">
        <f t="array" ref="G30">VLOOKUP($B30,NAS1352First[],COLUMN(NAS1352First[Head Diameter Max]),FALSE)</f>
        <v>0.14000000000000001</v>
      </c>
      <c r="H30" s="8" cm="1">
        <f t="array" ref="H30">VLOOKUP($B30,NAS1352First[],COLUMN(NAS1352First[Head Diameter Min]),FALSE)</f>
        <v>0.13400000000000001</v>
      </c>
      <c r="I30" s="8" cm="1">
        <f t="array" ref="I30">VLOOKUP($B30,NAS1352First[],COLUMN(NAS1352First[Head Height Max]),FALSE)</f>
        <v>8.5999999999999993E-2</v>
      </c>
      <c r="J30" s="8" cm="1">
        <f t="array" ref="J30">VLOOKUP($B30,NAS1352First[],COLUMN(NAS1352First[Head Height Min]),FALSE)</f>
        <v>8.3000000000000004E-2</v>
      </c>
      <c r="K30" s="8" cm="1">
        <f t="array" ref="K30">VLOOKUP($B30,NAS1352First[],COLUMN(NAS1352First[Head Side Height Min]),FALSE)</f>
        <v>7.6999999999999999E-2</v>
      </c>
      <c r="L30" s="8" cm="1">
        <f t="array" ref="L30">VLOOKUP($B30,NAS1352First[],COLUMN(NAS1352First[Nominal Socket Size]),FALSE)</f>
        <v>7.8E-2</v>
      </c>
      <c r="M30" s="8" cm="1">
        <f t="array" ref="M30">VLOOKUP($B30,NAS1352First[],COLUMN(NAS1352First[Key Engagement Min]),FALSE)</f>
        <v>3.7999999999999999E-2</v>
      </c>
      <c r="N30" s="8" cm="1">
        <f t="array" ref="N30">VLOOKUP($B30,NAS1352First[],COLUMN(NAS1352First[Wall Thickness Min]),FALSE)</f>
        <v>2.9000000000000001E-2</v>
      </c>
      <c r="O30" s="8" cm="1">
        <f t="array" ref="O30">VLOOKUP($B30,NAS1352First[],COLUMN(NAS1352First[Chamfer or Radius Max]),FALSE)</f>
        <v>3.0000000000000001E-3</v>
      </c>
      <c r="P30" s="8" cm="1">
        <f t="array" ref="P30">VLOOKUP($B30,NAS1352First[],COLUMN(NAS1352First[Minimum Basic Thread Length]),FALSE)</f>
        <v>0.625</v>
      </c>
      <c r="Q30" s="8" cm="1">
        <f t="array" ref="Q30">VLOOKUP($B30,NAS1352First[],COLUMN(NAS1352First[Drilled Hole Location Max]),FALSE)</f>
        <v>0</v>
      </c>
      <c r="R30" s="8" cm="1">
        <f t="array" ref="R30">VLOOKUP($B30,NAS1352First[],COLUMN(NAS1352First[Drilled Hole Location Min]),FALSE)</f>
        <v>0</v>
      </c>
      <c r="S30" s="8" cm="1">
        <f t="array" ref="S30">VLOOKUP($B30,NAS1352First[],COLUMN(NAS1352First[Drilled Hole Diameter Max]),FALSE)</f>
        <v>0</v>
      </c>
      <c r="T30" s="8" cm="1">
        <f t="array" ref="T30">VLOOKUP($B30,NAS1352First[],COLUMN(NAS1352First[Drilled Hole Diameter Min]),FALSE)</f>
        <v>0</v>
      </c>
      <c r="U30" s="8" cm="1">
        <f t="array" ref="U30">VLOOKUP($B30,NAS1352First[],COLUMN(NAS1352First[Alloy Steel Minimum Breaking Strength (lb)]),FALSE)</f>
        <v>665</v>
      </c>
      <c r="V30" s="8" cm="1">
        <f t="array" ref="V30">VLOOKUP($B30,NAS1352First[],COLUMN(NAS1352First[Corrosion Resistant Steel Minimum Breaking Strength (lb)]),FALSE)</f>
        <v>300</v>
      </c>
      <c r="W30" s="17" cm="1">
        <f t="array" ref="W30">VLOOKUP($B30,NAS1352First[],COLUMN(NAS1352First[Heat Resistant Steel Minimum Breaking Strength (lb)]),FALSE)</f>
        <v>592</v>
      </c>
    </row>
    <row r="31" spans="1:23" x14ac:dyDescent="0.25">
      <c r="A31" s="15" t="s">
        <v>548</v>
      </c>
      <c r="B31" s="8" t="str">
        <f t="shared" si="1"/>
        <v>03</v>
      </c>
      <c r="C31" s="8">
        <f t="shared" si="0"/>
        <v>0.25</v>
      </c>
      <c r="D31" s="8" t="str" cm="1">
        <f t="array" ref="D31">VLOOKUP($B31,NAS1352First[],COLUMN(NAS1352First[Thread Size]),FALSE)</f>
        <v>3–48 or 0.099–48 UNC CLASS 3</v>
      </c>
      <c r="E31" s="8" cm="1">
        <f t="array" ref="E31">VLOOKUP($B31,NAS1352First[],COLUMN(NAS1352First[Body Diameter Max]),FALSE)</f>
        <v>9.9000000000000005E-2</v>
      </c>
      <c r="F31" s="8" cm="1">
        <f t="array" ref="F31">VLOOKUP($B31,NAS1352First[],COLUMN(NAS1352First[Body Diameter Max2]),FALSE)</f>
        <v>9.4899999999999998E-2</v>
      </c>
      <c r="G31" s="8" cm="1">
        <f t="array" ref="G31">VLOOKUP($B31,NAS1352First[],COLUMN(NAS1352First[Head Diameter Max]),FALSE)</f>
        <v>0.161</v>
      </c>
      <c r="H31" s="8" cm="1">
        <f t="array" ref="H31">VLOOKUP($B31,NAS1352First[],COLUMN(NAS1352First[Head Diameter Min]),FALSE)</f>
        <v>0.154</v>
      </c>
      <c r="I31" s="8" cm="1">
        <f t="array" ref="I31">VLOOKUP($B31,NAS1352First[],COLUMN(NAS1352First[Head Height Max]),FALSE)</f>
        <v>9.9000000000000005E-2</v>
      </c>
      <c r="J31" s="8" cm="1">
        <f t="array" ref="J31">VLOOKUP($B31,NAS1352First[],COLUMN(NAS1352First[Head Height Min]),FALSE)</f>
        <v>9.5000000000000001E-2</v>
      </c>
      <c r="K31" s="8" cm="1">
        <f t="array" ref="K31">VLOOKUP($B31,NAS1352First[],COLUMN(NAS1352First[Head Side Height Min]),FALSE)</f>
        <v>8.8999999999999996E-2</v>
      </c>
      <c r="L31" s="8" cm="1">
        <f t="array" ref="L31">VLOOKUP($B31,NAS1352First[],COLUMN(NAS1352First[Nominal Socket Size]),FALSE)</f>
        <v>7.8E-2</v>
      </c>
      <c r="M31" s="8" cm="1">
        <f t="array" ref="M31">VLOOKUP($B31,NAS1352First[],COLUMN(NAS1352First[Key Engagement Min]),FALSE)</f>
        <v>4.3999999999999997E-2</v>
      </c>
      <c r="N31" s="8" cm="1">
        <f t="array" ref="N31">VLOOKUP($B31,NAS1352First[],COLUMN(NAS1352First[Wall Thickness Min]),FALSE)</f>
        <v>3.4000000000000002E-2</v>
      </c>
      <c r="O31" s="8" cm="1">
        <f t="array" ref="O31">VLOOKUP($B31,NAS1352First[],COLUMN(NAS1352First[Chamfer or Radius Max]),FALSE)</f>
        <v>3.0000000000000001E-3</v>
      </c>
      <c r="P31" s="8" cm="1">
        <f t="array" ref="P31">VLOOKUP($B31,NAS1352First[],COLUMN(NAS1352First[Minimum Basic Thread Length]),FALSE)</f>
        <v>0.625</v>
      </c>
      <c r="Q31" s="8" cm="1">
        <f t="array" ref="Q31">VLOOKUP($B31,NAS1352First[],COLUMN(NAS1352First[Drilled Hole Location Max]),FALSE)</f>
        <v>0</v>
      </c>
      <c r="R31" s="8" cm="1">
        <f t="array" ref="R31">VLOOKUP($B31,NAS1352First[],COLUMN(NAS1352First[Drilled Hole Location Min]),FALSE)</f>
        <v>0</v>
      </c>
      <c r="S31" s="8" cm="1">
        <f t="array" ref="S31">VLOOKUP($B31,NAS1352First[],COLUMN(NAS1352First[Drilled Hole Diameter Max]),FALSE)</f>
        <v>0</v>
      </c>
      <c r="T31" s="8" cm="1">
        <f t="array" ref="T31">VLOOKUP($B31,NAS1352First[],COLUMN(NAS1352First[Drilled Hole Diameter Min]),FALSE)</f>
        <v>0</v>
      </c>
      <c r="U31" s="8" cm="1">
        <f t="array" ref="U31">VLOOKUP($B31,NAS1352First[],COLUMN(NAS1352First[Alloy Steel Minimum Breaking Strength (lb)]),FALSE)</f>
        <v>875</v>
      </c>
      <c r="V31" s="8" cm="1">
        <f t="array" ref="V31">VLOOKUP($B31,NAS1352First[],COLUMN(NAS1352First[Corrosion Resistant Steel Minimum Breaking Strength (lb)]),FALSE)</f>
        <v>390</v>
      </c>
      <c r="W31" s="17" cm="1">
        <f t="array" ref="W31">VLOOKUP($B31,NAS1352First[],COLUMN(NAS1352First[Heat Resistant Steel Minimum Breaking Strength (lb)]),FALSE)</f>
        <v>780</v>
      </c>
    </row>
    <row r="32" spans="1:23" x14ac:dyDescent="0.25">
      <c r="A32" s="15" t="s">
        <v>549</v>
      </c>
      <c r="B32" s="8" t="str">
        <f t="shared" si="1"/>
        <v>03</v>
      </c>
      <c r="C32" s="8">
        <f t="shared" si="0"/>
        <v>0.375</v>
      </c>
      <c r="D32" s="8" t="str" cm="1">
        <f t="array" ref="D32">VLOOKUP($B32,NAS1352First[],COLUMN(NAS1352First[Thread Size]),FALSE)</f>
        <v>3–48 or 0.099–48 UNC CLASS 3</v>
      </c>
      <c r="E32" s="8" cm="1">
        <f t="array" ref="E32">VLOOKUP($B32,NAS1352First[],COLUMN(NAS1352First[Body Diameter Max]),FALSE)</f>
        <v>9.9000000000000005E-2</v>
      </c>
      <c r="F32" s="8" cm="1">
        <f t="array" ref="F32">VLOOKUP($B32,NAS1352First[],COLUMN(NAS1352First[Body Diameter Max2]),FALSE)</f>
        <v>9.4899999999999998E-2</v>
      </c>
      <c r="G32" s="8" cm="1">
        <f t="array" ref="G32">VLOOKUP($B32,NAS1352First[],COLUMN(NAS1352First[Head Diameter Max]),FALSE)</f>
        <v>0.161</v>
      </c>
      <c r="H32" s="8" cm="1">
        <f t="array" ref="H32">VLOOKUP($B32,NAS1352First[],COLUMN(NAS1352First[Head Diameter Min]),FALSE)</f>
        <v>0.154</v>
      </c>
      <c r="I32" s="8" cm="1">
        <f t="array" ref="I32">VLOOKUP($B32,NAS1352First[],COLUMN(NAS1352First[Head Height Max]),FALSE)</f>
        <v>9.9000000000000005E-2</v>
      </c>
      <c r="J32" s="8" cm="1">
        <f t="array" ref="J32">VLOOKUP($B32,NAS1352First[],COLUMN(NAS1352First[Head Height Min]),FALSE)</f>
        <v>9.5000000000000001E-2</v>
      </c>
      <c r="K32" s="8" cm="1">
        <f t="array" ref="K32">VLOOKUP($B32,NAS1352First[],COLUMN(NAS1352First[Head Side Height Min]),FALSE)</f>
        <v>8.8999999999999996E-2</v>
      </c>
      <c r="L32" s="8" cm="1">
        <f t="array" ref="L32">VLOOKUP($B32,NAS1352First[],COLUMN(NAS1352First[Nominal Socket Size]),FALSE)</f>
        <v>7.8E-2</v>
      </c>
      <c r="M32" s="8" cm="1">
        <f t="array" ref="M32">VLOOKUP($B32,NAS1352First[],COLUMN(NAS1352First[Key Engagement Min]),FALSE)</f>
        <v>4.3999999999999997E-2</v>
      </c>
      <c r="N32" s="8" cm="1">
        <f t="array" ref="N32">VLOOKUP($B32,NAS1352First[],COLUMN(NAS1352First[Wall Thickness Min]),FALSE)</f>
        <v>3.4000000000000002E-2</v>
      </c>
      <c r="O32" s="8" cm="1">
        <f t="array" ref="O32">VLOOKUP($B32,NAS1352First[],COLUMN(NAS1352First[Chamfer or Radius Max]),FALSE)</f>
        <v>3.0000000000000001E-3</v>
      </c>
      <c r="P32" s="8" cm="1">
        <f t="array" ref="P32">VLOOKUP($B32,NAS1352First[],COLUMN(NAS1352First[Minimum Basic Thread Length]),FALSE)</f>
        <v>0.625</v>
      </c>
      <c r="Q32" s="8" cm="1">
        <f t="array" ref="Q32">VLOOKUP($B32,NAS1352First[],COLUMN(NAS1352First[Drilled Hole Location Max]),FALSE)</f>
        <v>0</v>
      </c>
      <c r="R32" s="8" cm="1">
        <f t="array" ref="R32">VLOOKUP($B32,NAS1352First[],COLUMN(NAS1352First[Drilled Hole Location Min]),FALSE)</f>
        <v>0</v>
      </c>
      <c r="S32" s="8" cm="1">
        <f t="array" ref="S32">VLOOKUP($B32,NAS1352First[],COLUMN(NAS1352First[Drilled Hole Diameter Max]),FALSE)</f>
        <v>0</v>
      </c>
      <c r="T32" s="8" cm="1">
        <f t="array" ref="T32">VLOOKUP($B32,NAS1352First[],COLUMN(NAS1352First[Drilled Hole Diameter Min]),FALSE)</f>
        <v>0</v>
      </c>
      <c r="U32" s="8" cm="1">
        <f t="array" ref="U32">VLOOKUP($B32,NAS1352First[],COLUMN(NAS1352First[Alloy Steel Minimum Breaking Strength (lb)]),FALSE)</f>
        <v>875</v>
      </c>
      <c r="V32" s="8" cm="1">
        <f t="array" ref="V32">VLOOKUP($B32,NAS1352First[],COLUMN(NAS1352First[Corrosion Resistant Steel Minimum Breaking Strength (lb)]),FALSE)</f>
        <v>390</v>
      </c>
      <c r="W32" s="17" cm="1">
        <f t="array" ref="W32">VLOOKUP($B32,NAS1352First[],COLUMN(NAS1352First[Heat Resistant Steel Minimum Breaking Strength (lb)]),FALSE)</f>
        <v>780</v>
      </c>
    </row>
    <row r="33" spans="1:23" x14ac:dyDescent="0.25">
      <c r="A33" s="15" t="s">
        <v>550</v>
      </c>
      <c r="B33" s="8" t="str">
        <f t="shared" si="1"/>
        <v>03</v>
      </c>
      <c r="C33" s="8">
        <f t="shared" si="0"/>
        <v>0.5</v>
      </c>
      <c r="D33" s="8" t="str" cm="1">
        <f t="array" ref="D33">VLOOKUP($B33,NAS1352First[],COLUMN(NAS1352First[Thread Size]),FALSE)</f>
        <v>3–48 or 0.099–48 UNC CLASS 3</v>
      </c>
      <c r="E33" s="8" cm="1">
        <f t="array" ref="E33">VLOOKUP($B33,NAS1352First[],COLUMN(NAS1352First[Body Diameter Max]),FALSE)</f>
        <v>9.9000000000000005E-2</v>
      </c>
      <c r="F33" s="8" cm="1">
        <f t="array" ref="F33">VLOOKUP($B33,NAS1352First[],COLUMN(NAS1352First[Body Diameter Max2]),FALSE)</f>
        <v>9.4899999999999998E-2</v>
      </c>
      <c r="G33" s="8" cm="1">
        <f t="array" ref="G33">VLOOKUP($B33,NAS1352First[],COLUMN(NAS1352First[Head Diameter Max]),FALSE)</f>
        <v>0.161</v>
      </c>
      <c r="H33" s="8" cm="1">
        <f t="array" ref="H33">VLOOKUP($B33,NAS1352First[],COLUMN(NAS1352First[Head Diameter Min]),FALSE)</f>
        <v>0.154</v>
      </c>
      <c r="I33" s="8" cm="1">
        <f t="array" ref="I33">VLOOKUP($B33,NAS1352First[],COLUMN(NAS1352First[Head Height Max]),FALSE)</f>
        <v>9.9000000000000005E-2</v>
      </c>
      <c r="J33" s="8" cm="1">
        <f t="array" ref="J33">VLOOKUP($B33,NAS1352First[],COLUMN(NAS1352First[Head Height Min]),FALSE)</f>
        <v>9.5000000000000001E-2</v>
      </c>
      <c r="K33" s="8" cm="1">
        <f t="array" ref="K33">VLOOKUP($B33,NAS1352First[],COLUMN(NAS1352First[Head Side Height Min]),FALSE)</f>
        <v>8.8999999999999996E-2</v>
      </c>
      <c r="L33" s="8" cm="1">
        <f t="array" ref="L33">VLOOKUP($B33,NAS1352First[],COLUMN(NAS1352First[Nominal Socket Size]),FALSE)</f>
        <v>7.8E-2</v>
      </c>
      <c r="M33" s="8" cm="1">
        <f t="array" ref="M33">VLOOKUP($B33,NAS1352First[],COLUMN(NAS1352First[Key Engagement Min]),FALSE)</f>
        <v>4.3999999999999997E-2</v>
      </c>
      <c r="N33" s="8" cm="1">
        <f t="array" ref="N33">VLOOKUP($B33,NAS1352First[],COLUMN(NAS1352First[Wall Thickness Min]),FALSE)</f>
        <v>3.4000000000000002E-2</v>
      </c>
      <c r="O33" s="8" cm="1">
        <f t="array" ref="O33">VLOOKUP($B33,NAS1352First[],COLUMN(NAS1352First[Chamfer or Radius Max]),FALSE)</f>
        <v>3.0000000000000001E-3</v>
      </c>
      <c r="P33" s="8" cm="1">
        <f t="array" ref="P33">VLOOKUP($B33,NAS1352First[],COLUMN(NAS1352First[Minimum Basic Thread Length]),FALSE)</f>
        <v>0.625</v>
      </c>
      <c r="Q33" s="8" cm="1">
        <f t="array" ref="Q33">VLOOKUP($B33,NAS1352First[],COLUMN(NAS1352First[Drilled Hole Location Max]),FALSE)</f>
        <v>0</v>
      </c>
      <c r="R33" s="8" cm="1">
        <f t="array" ref="R33">VLOOKUP($B33,NAS1352First[],COLUMN(NAS1352First[Drilled Hole Location Min]),FALSE)</f>
        <v>0</v>
      </c>
      <c r="S33" s="8" cm="1">
        <f t="array" ref="S33">VLOOKUP($B33,NAS1352First[],COLUMN(NAS1352First[Drilled Hole Diameter Max]),FALSE)</f>
        <v>0</v>
      </c>
      <c r="T33" s="8" cm="1">
        <f t="array" ref="T33">VLOOKUP($B33,NAS1352First[],COLUMN(NAS1352First[Drilled Hole Diameter Min]),FALSE)</f>
        <v>0</v>
      </c>
      <c r="U33" s="8" cm="1">
        <f t="array" ref="U33">VLOOKUP($B33,NAS1352First[],COLUMN(NAS1352First[Alloy Steel Minimum Breaking Strength (lb)]),FALSE)</f>
        <v>875</v>
      </c>
      <c r="V33" s="8" cm="1">
        <f t="array" ref="V33">VLOOKUP($B33,NAS1352First[],COLUMN(NAS1352First[Corrosion Resistant Steel Minimum Breaking Strength (lb)]),FALSE)</f>
        <v>390</v>
      </c>
      <c r="W33" s="17" cm="1">
        <f t="array" ref="W33">VLOOKUP($B33,NAS1352First[],COLUMN(NAS1352First[Heat Resistant Steel Minimum Breaking Strength (lb)]),FALSE)</f>
        <v>780</v>
      </c>
    </row>
    <row r="34" spans="1:23" x14ac:dyDescent="0.25">
      <c r="A34" s="15" t="s">
        <v>551</v>
      </c>
      <c r="B34" s="8" t="str">
        <f t="shared" si="1"/>
        <v>03</v>
      </c>
      <c r="C34" s="8">
        <f t="shared" si="0"/>
        <v>0.625</v>
      </c>
      <c r="D34" s="8" t="str" cm="1">
        <f t="array" ref="D34">VLOOKUP($B34,NAS1352First[],COLUMN(NAS1352First[Thread Size]),FALSE)</f>
        <v>3–48 or 0.099–48 UNC CLASS 3</v>
      </c>
      <c r="E34" s="8" cm="1">
        <f t="array" ref="E34">VLOOKUP($B34,NAS1352First[],COLUMN(NAS1352First[Body Diameter Max]),FALSE)</f>
        <v>9.9000000000000005E-2</v>
      </c>
      <c r="F34" s="8" cm="1">
        <f t="array" ref="F34">VLOOKUP($B34,NAS1352First[],COLUMN(NAS1352First[Body Diameter Max2]),FALSE)</f>
        <v>9.4899999999999998E-2</v>
      </c>
      <c r="G34" s="8" cm="1">
        <f t="array" ref="G34">VLOOKUP($B34,NAS1352First[],COLUMN(NAS1352First[Head Diameter Max]),FALSE)</f>
        <v>0.161</v>
      </c>
      <c r="H34" s="8" cm="1">
        <f t="array" ref="H34">VLOOKUP($B34,NAS1352First[],COLUMN(NAS1352First[Head Diameter Min]),FALSE)</f>
        <v>0.154</v>
      </c>
      <c r="I34" s="8" cm="1">
        <f t="array" ref="I34">VLOOKUP($B34,NAS1352First[],COLUMN(NAS1352First[Head Height Max]),FALSE)</f>
        <v>9.9000000000000005E-2</v>
      </c>
      <c r="J34" s="8" cm="1">
        <f t="array" ref="J34">VLOOKUP($B34,NAS1352First[],COLUMN(NAS1352First[Head Height Min]),FALSE)</f>
        <v>9.5000000000000001E-2</v>
      </c>
      <c r="K34" s="8" cm="1">
        <f t="array" ref="K34">VLOOKUP($B34,NAS1352First[],COLUMN(NAS1352First[Head Side Height Min]),FALSE)</f>
        <v>8.8999999999999996E-2</v>
      </c>
      <c r="L34" s="8" cm="1">
        <f t="array" ref="L34">VLOOKUP($B34,NAS1352First[],COLUMN(NAS1352First[Nominal Socket Size]),FALSE)</f>
        <v>7.8E-2</v>
      </c>
      <c r="M34" s="8" cm="1">
        <f t="array" ref="M34">VLOOKUP($B34,NAS1352First[],COLUMN(NAS1352First[Key Engagement Min]),FALSE)</f>
        <v>4.3999999999999997E-2</v>
      </c>
      <c r="N34" s="8" cm="1">
        <f t="array" ref="N34">VLOOKUP($B34,NAS1352First[],COLUMN(NAS1352First[Wall Thickness Min]),FALSE)</f>
        <v>3.4000000000000002E-2</v>
      </c>
      <c r="O34" s="8" cm="1">
        <f t="array" ref="O34">VLOOKUP($B34,NAS1352First[],COLUMN(NAS1352First[Chamfer or Radius Max]),FALSE)</f>
        <v>3.0000000000000001E-3</v>
      </c>
      <c r="P34" s="8" cm="1">
        <f t="array" ref="P34">VLOOKUP($B34,NAS1352First[],COLUMN(NAS1352First[Minimum Basic Thread Length]),FALSE)</f>
        <v>0.625</v>
      </c>
      <c r="Q34" s="8" cm="1">
        <f t="array" ref="Q34">VLOOKUP($B34,NAS1352First[],COLUMN(NAS1352First[Drilled Hole Location Max]),FALSE)</f>
        <v>0</v>
      </c>
      <c r="R34" s="8" cm="1">
        <f t="array" ref="R34">VLOOKUP($B34,NAS1352First[],COLUMN(NAS1352First[Drilled Hole Location Min]),FALSE)</f>
        <v>0</v>
      </c>
      <c r="S34" s="8" cm="1">
        <f t="array" ref="S34">VLOOKUP($B34,NAS1352First[],COLUMN(NAS1352First[Drilled Hole Diameter Max]),FALSE)</f>
        <v>0</v>
      </c>
      <c r="T34" s="8" cm="1">
        <f t="array" ref="T34">VLOOKUP($B34,NAS1352First[],COLUMN(NAS1352First[Drilled Hole Diameter Min]),FALSE)</f>
        <v>0</v>
      </c>
      <c r="U34" s="8" cm="1">
        <f t="array" ref="U34">VLOOKUP($B34,NAS1352First[],COLUMN(NAS1352First[Alloy Steel Minimum Breaking Strength (lb)]),FALSE)</f>
        <v>875</v>
      </c>
      <c r="V34" s="8" cm="1">
        <f t="array" ref="V34">VLOOKUP($B34,NAS1352First[],COLUMN(NAS1352First[Corrosion Resistant Steel Minimum Breaking Strength (lb)]),FALSE)</f>
        <v>390</v>
      </c>
      <c r="W34" s="17" cm="1">
        <f t="array" ref="W34">VLOOKUP($B34,NAS1352First[],COLUMN(NAS1352First[Heat Resistant Steel Minimum Breaking Strength (lb)]),FALSE)</f>
        <v>780</v>
      </c>
    </row>
    <row r="35" spans="1:23" x14ac:dyDescent="0.25">
      <c r="A35" s="15" t="s">
        <v>552</v>
      </c>
      <c r="B35" s="8" t="str">
        <f t="shared" si="1"/>
        <v>04</v>
      </c>
      <c r="C35" s="8">
        <f t="shared" si="0"/>
        <v>0.25</v>
      </c>
      <c r="D35" s="8" t="str" cm="1">
        <f t="array" ref="D35">VLOOKUP($B35,NAS1352First[],COLUMN(NAS1352First[Thread Size]),FALSE)</f>
        <v>4–40 or 0.112–40 UNC CLASS 3</v>
      </c>
      <c r="E35" s="8" cm="1">
        <f t="array" ref="E35">VLOOKUP($B35,NAS1352First[],COLUMN(NAS1352First[Body Diameter Max]),FALSE)</f>
        <v>0.112</v>
      </c>
      <c r="F35" s="8" cm="1">
        <f t="array" ref="F35">VLOOKUP($B35,NAS1352First[],COLUMN(NAS1352First[Body Diameter Max2]),FALSE)</f>
        <v>0.1075</v>
      </c>
      <c r="G35" s="8" cm="1">
        <f t="array" ref="G35">VLOOKUP($B35,NAS1352First[],COLUMN(NAS1352First[Head Diameter Max]),FALSE)</f>
        <v>0.183</v>
      </c>
      <c r="H35" s="8" cm="1">
        <f t="array" ref="H35">VLOOKUP($B35,NAS1352First[],COLUMN(NAS1352First[Head Diameter Min]),FALSE)</f>
        <v>0.17599999999999999</v>
      </c>
      <c r="I35" s="8" cm="1">
        <f t="array" ref="I35">VLOOKUP($B35,NAS1352First[],COLUMN(NAS1352First[Head Height Max]),FALSE)</f>
        <v>0.112</v>
      </c>
      <c r="J35" s="8" cm="1">
        <f t="array" ref="J35">VLOOKUP($B35,NAS1352First[],COLUMN(NAS1352First[Head Height Min]),FALSE)</f>
        <v>0.108</v>
      </c>
      <c r="K35" s="8" cm="1">
        <f t="array" ref="K35">VLOOKUP($B35,NAS1352First[],COLUMN(NAS1352First[Head Side Height Min]),FALSE)</f>
        <v>0.10100000000000001</v>
      </c>
      <c r="L35" s="8" cm="1">
        <f t="array" ref="L35">VLOOKUP($B35,NAS1352First[],COLUMN(NAS1352First[Nominal Socket Size]),FALSE)</f>
        <v>9.4E-2</v>
      </c>
      <c r="M35" s="8" cm="1">
        <f t="array" ref="M35">VLOOKUP($B35,NAS1352First[],COLUMN(NAS1352First[Key Engagement Min]),FALSE)</f>
        <v>5.0999999999999997E-2</v>
      </c>
      <c r="N35" s="8" cm="1">
        <f t="array" ref="N35">VLOOKUP($B35,NAS1352First[],COLUMN(NAS1352First[Wall Thickness Min]),FALSE)</f>
        <v>3.7999999999999999E-2</v>
      </c>
      <c r="O35" s="8" cm="1">
        <f t="array" ref="O35">VLOOKUP($B35,NAS1352First[],COLUMN(NAS1352First[Chamfer or Radius Max]),FALSE)</f>
        <v>5.0000000000000001E-3</v>
      </c>
      <c r="P35" s="8" cm="1">
        <f t="array" ref="P35">VLOOKUP($B35,NAS1352First[],COLUMN(NAS1352First[Minimum Basic Thread Length]),FALSE)</f>
        <v>0.75</v>
      </c>
      <c r="Q35" s="8" cm="1">
        <f t="array" ref="Q35">VLOOKUP($B35,NAS1352First[],COLUMN(NAS1352First[Drilled Hole Location Max]),FALSE)</f>
        <v>0.04</v>
      </c>
      <c r="R35" s="8" cm="1">
        <f t="array" ref="R35">VLOOKUP($B35,NAS1352First[],COLUMN(NAS1352First[Drilled Hole Location Min]),FALSE)</f>
        <v>2.5999999999999999E-2</v>
      </c>
      <c r="S35" s="8" cm="1">
        <f t="array" ref="S35">VLOOKUP($B35,NAS1352First[],COLUMN(NAS1352First[Drilled Hole Diameter Max]),FALSE)</f>
        <v>3.9E-2</v>
      </c>
      <c r="T35" s="8" cm="1">
        <f t="array" ref="T35">VLOOKUP($B35,NAS1352First[],COLUMN(NAS1352First[Drilled Hole Diameter Min]),FALSE)</f>
        <v>3.3000000000000002E-2</v>
      </c>
      <c r="U35" s="8" cm="1">
        <f t="array" ref="U35">VLOOKUP($B35,NAS1352First[],COLUMN(NAS1352First[Alloy Steel Minimum Breaking Strength (lb)]),FALSE)</f>
        <v>1090</v>
      </c>
      <c r="V35" s="8" cm="1">
        <f t="array" ref="V35">VLOOKUP($B35,NAS1352First[],COLUMN(NAS1352First[Corrosion Resistant Steel Minimum Breaking Strength (lb)]),FALSE)</f>
        <v>480</v>
      </c>
      <c r="W35" s="17" cm="1">
        <f t="array" ref="W35">VLOOKUP($B35,NAS1352First[],COLUMN(NAS1352First[Heat Resistant Steel Minimum Breaking Strength (lb)]),FALSE)</f>
        <v>966</v>
      </c>
    </row>
    <row r="36" spans="1:23" x14ac:dyDescent="0.25">
      <c r="A36" s="15" t="s">
        <v>553</v>
      </c>
      <c r="B36" s="8" t="str">
        <f t="shared" si="1"/>
        <v>04</v>
      </c>
      <c r="C36" s="8">
        <f t="shared" si="0"/>
        <v>0.375</v>
      </c>
      <c r="D36" s="8" t="str" cm="1">
        <f t="array" ref="D36">VLOOKUP($B36,NAS1352First[],COLUMN(NAS1352First[Thread Size]),FALSE)</f>
        <v>4–40 or 0.112–40 UNC CLASS 3</v>
      </c>
      <c r="E36" s="8" cm="1">
        <f t="array" ref="E36">VLOOKUP($B36,NAS1352First[],COLUMN(NAS1352First[Body Diameter Max]),FALSE)</f>
        <v>0.112</v>
      </c>
      <c r="F36" s="8" cm="1">
        <f t="array" ref="F36">VLOOKUP($B36,NAS1352First[],COLUMN(NAS1352First[Body Diameter Max2]),FALSE)</f>
        <v>0.1075</v>
      </c>
      <c r="G36" s="8" cm="1">
        <f t="array" ref="G36">VLOOKUP($B36,NAS1352First[],COLUMN(NAS1352First[Head Diameter Max]),FALSE)</f>
        <v>0.183</v>
      </c>
      <c r="H36" s="8" cm="1">
        <f t="array" ref="H36">VLOOKUP($B36,NAS1352First[],COLUMN(NAS1352First[Head Diameter Min]),FALSE)</f>
        <v>0.17599999999999999</v>
      </c>
      <c r="I36" s="8" cm="1">
        <f t="array" ref="I36">VLOOKUP($B36,NAS1352First[],COLUMN(NAS1352First[Head Height Max]),FALSE)</f>
        <v>0.112</v>
      </c>
      <c r="J36" s="8" cm="1">
        <f t="array" ref="J36">VLOOKUP($B36,NAS1352First[],COLUMN(NAS1352First[Head Height Min]),FALSE)</f>
        <v>0.108</v>
      </c>
      <c r="K36" s="8" cm="1">
        <f t="array" ref="K36">VLOOKUP($B36,NAS1352First[],COLUMN(NAS1352First[Head Side Height Min]),FALSE)</f>
        <v>0.10100000000000001</v>
      </c>
      <c r="L36" s="8" cm="1">
        <f t="array" ref="L36">VLOOKUP($B36,NAS1352First[],COLUMN(NAS1352First[Nominal Socket Size]),FALSE)</f>
        <v>9.4E-2</v>
      </c>
      <c r="M36" s="8" cm="1">
        <f t="array" ref="M36">VLOOKUP($B36,NAS1352First[],COLUMN(NAS1352First[Key Engagement Min]),FALSE)</f>
        <v>5.0999999999999997E-2</v>
      </c>
      <c r="N36" s="8" cm="1">
        <f t="array" ref="N36">VLOOKUP($B36,NAS1352First[],COLUMN(NAS1352First[Wall Thickness Min]),FALSE)</f>
        <v>3.7999999999999999E-2</v>
      </c>
      <c r="O36" s="8" cm="1">
        <f t="array" ref="O36">VLOOKUP($B36,NAS1352First[],COLUMN(NAS1352First[Chamfer or Radius Max]),FALSE)</f>
        <v>5.0000000000000001E-3</v>
      </c>
      <c r="P36" s="8" cm="1">
        <f t="array" ref="P36">VLOOKUP($B36,NAS1352First[],COLUMN(NAS1352First[Minimum Basic Thread Length]),FALSE)</f>
        <v>0.75</v>
      </c>
      <c r="Q36" s="8" cm="1">
        <f t="array" ref="Q36">VLOOKUP($B36,NAS1352First[],COLUMN(NAS1352First[Drilled Hole Location Max]),FALSE)</f>
        <v>0.04</v>
      </c>
      <c r="R36" s="8" cm="1">
        <f t="array" ref="R36">VLOOKUP($B36,NAS1352First[],COLUMN(NAS1352First[Drilled Hole Location Min]),FALSE)</f>
        <v>2.5999999999999999E-2</v>
      </c>
      <c r="S36" s="8" cm="1">
        <f t="array" ref="S36">VLOOKUP($B36,NAS1352First[],COLUMN(NAS1352First[Drilled Hole Diameter Max]),FALSE)</f>
        <v>3.9E-2</v>
      </c>
      <c r="T36" s="8" cm="1">
        <f t="array" ref="T36">VLOOKUP($B36,NAS1352First[],COLUMN(NAS1352First[Drilled Hole Diameter Min]),FALSE)</f>
        <v>3.3000000000000002E-2</v>
      </c>
      <c r="U36" s="8" cm="1">
        <f t="array" ref="U36">VLOOKUP($B36,NAS1352First[],COLUMN(NAS1352First[Alloy Steel Minimum Breaking Strength (lb)]),FALSE)</f>
        <v>1090</v>
      </c>
      <c r="V36" s="8" cm="1">
        <f t="array" ref="V36">VLOOKUP($B36,NAS1352First[],COLUMN(NAS1352First[Corrosion Resistant Steel Minimum Breaking Strength (lb)]),FALSE)</f>
        <v>480</v>
      </c>
      <c r="W36" s="17" cm="1">
        <f t="array" ref="W36">VLOOKUP($B36,NAS1352First[],COLUMN(NAS1352First[Heat Resistant Steel Minimum Breaking Strength (lb)]),FALSE)</f>
        <v>966</v>
      </c>
    </row>
    <row r="37" spans="1:23" x14ac:dyDescent="0.25">
      <c r="A37" s="15" t="s">
        <v>554</v>
      </c>
      <c r="B37" s="8" t="str">
        <f t="shared" si="1"/>
        <v>04</v>
      </c>
      <c r="C37" s="8">
        <f t="shared" si="0"/>
        <v>0.5</v>
      </c>
      <c r="D37" s="8" t="str" cm="1">
        <f t="array" ref="D37">VLOOKUP($B37,NAS1352First[],COLUMN(NAS1352First[Thread Size]),FALSE)</f>
        <v>4–40 or 0.112–40 UNC CLASS 3</v>
      </c>
      <c r="E37" s="8" cm="1">
        <f t="array" ref="E37">VLOOKUP($B37,NAS1352First[],COLUMN(NAS1352First[Body Diameter Max]),FALSE)</f>
        <v>0.112</v>
      </c>
      <c r="F37" s="8" cm="1">
        <f t="array" ref="F37">VLOOKUP($B37,NAS1352First[],COLUMN(NAS1352First[Body Diameter Max2]),FALSE)</f>
        <v>0.1075</v>
      </c>
      <c r="G37" s="8" cm="1">
        <f t="array" ref="G37">VLOOKUP($B37,NAS1352First[],COLUMN(NAS1352First[Head Diameter Max]),FALSE)</f>
        <v>0.183</v>
      </c>
      <c r="H37" s="8" cm="1">
        <f t="array" ref="H37">VLOOKUP($B37,NAS1352First[],COLUMN(NAS1352First[Head Diameter Min]),FALSE)</f>
        <v>0.17599999999999999</v>
      </c>
      <c r="I37" s="8" cm="1">
        <f t="array" ref="I37">VLOOKUP($B37,NAS1352First[],COLUMN(NAS1352First[Head Height Max]),FALSE)</f>
        <v>0.112</v>
      </c>
      <c r="J37" s="8" cm="1">
        <f t="array" ref="J37">VLOOKUP($B37,NAS1352First[],COLUMN(NAS1352First[Head Height Min]),FALSE)</f>
        <v>0.108</v>
      </c>
      <c r="K37" s="8" cm="1">
        <f t="array" ref="K37">VLOOKUP($B37,NAS1352First[],COLUMN(NAS1352First[Head Side Height Min]),FALSE)</f>
        <v>0.10100000000000001</v>
      </c>
      <c r="L37" s="8" cm="1">
        <f t="array" ref="L37">VLOOKUP($B37,NAS1352First[],COLUMN(NAS1352First[Nominal Socket Size]),FALSE)</f>
        <v>9.4E-2</v>
      </c>
      <c r="M37" s="8" cm="1">
        <f t="array" ref="M37">VLOOKUP($B37,NAS1352First[],COLUMN(NAS1352First[Key Engagement Min]),FALSE)</f>
        <v>5.0999999999999997E-2</v>
      </c>
      <c r="N37" s="8" cm="1">
        <f t="array" ref="N37">VLOOKUP($B37,NAS1352First[],COLUMN(NAS1352First[Wall Thickness Min]),FALSE)</f>
        <v>3.7999999999999999E-2</v>
      </c>
      <c r="O37" s="8" cm="1">
        <f t="array" ref="O37">VLOOKUP($B37,NAS1352First[],COLUMN(NAS1352First[Chamfer or Radius Max]),FALSE)</f>
        <v>5.0000000000000001E-3</v>
      </c>
      <c r="P37" s="8" cm="1">
        <f t="array" ref="P37">VLOOKUP($B37,NAS1352First[],COLUMN(NAS1352First[Minimum Basic Thread Length]),FALSE)</f>
        <v>0.75</v>
      </c>
      <c r="Q37" s="8" cm="1">
        <f t="array" ref="Q37">VLOOKUP($B37,NAS1352First[],COLUMN(NAS1352First[Drilled Hole Location Max]),FALSE)</f>
        <v>0.04</v>
      </c>
      <c r="R37" s="8" cm="1">
        <f t="array" ref="R37">VLOOKUP($B37,NAS1352First[],COLUMN(NAS1352First[Drilled Hole Location Min]),FALSE)</f>
        <v>2.5999999999999999E-2</v>
      </c>
      <c r="S37" s="8" cm="1">
        <f t="array" ref="S37">VLOOKUP($B37,NAS1352First[],COLUMN(NAS1352First[Drilled Hole Diameter Max]),FALSE)</f>
        <v>3.9E-2</v>
      </c>
      <c r="T37" s="8" cm="1">
        <f t="array" ref="T37">VLOOKUP($B37,NAS1352First[],COLUMN(NAS1352First[Drilled Hole Diameter Min]),FALSE)</f>
        <v>3.3000000000000002E-2</v>
      </c>
      <c r="U37" s="8" cm="1">
        <f t="array" ref="U37">VLOOKUP($B37,NAS1352First[],COLUMN(NAS1352First[Alloy Steel Minimum Breaking Strength (lb)]),FALSE)</f>
        <v>1090</v>
      </c>
      <c r="V37" s="8" cm="1">
        <f t="array" ref="V37">VLOOKUP($B37,NAS1352First[],COLUMN(NAS1352First[Corrosion Resistant Steel Minimum Breaking Strength (lb)]),FALSE)</f>
        <v>480</v>
      </c>
      <c r="W37" s="17" cm="1">
        <f t="array" ref="W37">VLOOKUP($B37,NAS1352First[],COLUMN(NAS1352First[Heat Resistant Steel Minimum Breaking Strength (lb)]),FALSE)</f>
        <v>966</v>
      </c>
    </row>
    <row r="38" spans="1:23" x14ac:dyDescent="0.25">
      <c r="A38" s="15" t="s">
        <v>555</v>
      </c>
      <c r="B38" s="8" t="str">
        <f t="shared" si="1"/>
        <v>04</v>
      </c>
      <c r="C38" s="8">
        <f t="shared" si="0"/>
        <v>0.625</v>
      </c>
      <c r="D38" s="8" t="str" cm="1">
        <f t="array" ref="D38">VLOOKUP($B38,NAS1352First[],COLUMN(NAS1352First[Thread Size]),FALSE)</f>
        <v>4–40 or 0.112–40 UNC CLASS 3</v>
      </c>
      <c r="E38" s="8" cm="1">
        <f t="array" ref="E38">VLOOKUP($B38,NAS1352First[],COLUMN(NAS1352First[Body Diameter Max]),FALSE)</f>
        <v>0.112</v>
      </c>
      <c r="F38" s="8" cm="1">
        <f t="array" ref="F38">VLOOKUP($B38,NAS1352First[],COLUMN(NAS1352First[Body Diameter Max2]),FALSE)</f>
        <v>0.1075</v>
      </c>
      <c r="G38" s="8" cm="1">
        <f t="array" ref="G38">VLOOKUP($B38,NAS1352First[],COLUMN(NAS1352First[Head Diameter Max]),FALSE)</f>
        <v>0.183</v>
      </c>
      <c r="H38" s="8" cm="1">
        <f t="array" ref="H38">VLOOKUP($B38,NAS1352First[],COLUMN(NAS1352First[Head Diameter Min]),FALSE)</f>
        <v>0.17599999999999999</v>
      </c>
      <c r="I38" s="8" cm="1">
        <f t="array" ref="I38">VLOOKUP($B38,NAS1352First[],COLUMN(NAS1352First[Head Height Max]),FALSE)</f>
        <v>0.112</v>
      </c>
      <c r="J38" s="8" cm="1">
        <f t="array" ref="J38">VLOOKUP($B38,NAS1352First[],COLUMN(NAS1352First[Head Height Min]),FALSE)</f>
        <v>0.108</v>
      </c>
      <c r="K38" s="8" cm="1">
        <f t="array" ref="K38">VLOOKUP($B38,NAS1352First[],COLUMN(NAS1352First[Head Side Height Min]),FALSE)</f>
        <v>0.10100000000000001</v>
      </c>
      <c r="L38" s="8" cm="1">
        <f t="array" ref="L38">VLOOKUP($B38,NAS1352First[],COLUMN(NAS1352First[Nominal Socket Size]),FALSE)</f>
        <v>9.4E-2</v>
      </c>
      <c r="M38" s="8" cm="1">
        <f t="array" ref="M38">VLOOKUP($B38,NAS1352First[],COLUMN(NAS1352First[Key Engagement Min]),FALSE)</f>
        <v>5.0999999999999997E-2</v>
      </c>
      <c r="N38" s="8" cm="1">
        <f t="array" ref="N38">VLOOKUP($B38,NAS1352First[],COLUMN(NAS1352First[Wall Thickness Min]),FALSE)</f>
        <v>3.7999999999999999E-2</v>
      </c>
      <c r="O38" s="8" cm="1">
        <f t="array" ref="O38">VLOOKUP($B38,NAS1352First[],COLUMN(NAS1352First[Chamfer or Radius Max]),FALSE)</f>
        <v>5.0000000000000001E-3</v>
      </c>
      <c r="P38" s="8" cm="1">
        <f t="array" ref="P38">VLOOKUP($B38,NAS1352First[],COLUMN(NAS1352First[Minimum Basic Thread Length]),FALSE)</f>
        <v>0.75</v>
      </c>
      <c r="Q38" s="8" cm="1">
        <f t="array" ref="Q38">VLOOKUP($B38,NAS1352First[],COLUMN(NAS1352First[Drilled Hole Location Max]),FALSE)</f>
        <v>0.04</v>
      </c>
      <c r="R38" s="8" cm="1">
        <f t="array" ref="R38">VLOOKUP($B38,NAS1352First[],COLUMN(NAS1352First[Drilled Hole Location Min]),FALSE)</f>
        <v>2.5999999999999999E-2</v>
      </c>
      <c r="S38" s="8" cm="1">
        <f t="array" ref="S38">VLOOKUP($B38,NAS1352First[],COLUMN(NAS1352First[Drilled Hole Diameter Max]),FALSE)</f>
        <v>3.9E-2</v>
      </c>
      <c r="T38" s="8" cm="1">
        <f t="array" ref="T38">VLOOKUP($B38,NAS1352First[],COLUMN(NAS1352First[Drilled Hole Diameter Min]),FALSE)</f>
        <v>3.3000000000000002E-2</v>
      </c>
      <c r="U38" s="8" cm="1">
        <f t="array" ref="U38">VLOOKUP($B38,NAS1352First[],COLUMN(NAS1352First[Alloy Steel Minimum Breaking Strength (lb)]),FALSE)</f>
        <v>1090</v>
      </c>
      <c r="V38" s="8" cm="1">
        <f t="array" ref="V38">VLOOKUP($B38,NAS1352First[],COLUMN(NAS1352First[Corrosion Resistant Steel Minimum Breaking Strength (lb)]),FALSE)</f>
        <v>480</v>
      </c>
      <c r="W38" s="17" cm="1">
        <f t="array" ref="W38">VLOOKUP($B38,NAS1352First[],COLUMN(NAS1352First[Heat Resistant Steel Minimum Breaking Strength (lb)]),FALSE)</f>
        <v>966</v>
      </c>
    </row>
    <row r="39" spans="1:23" x14ac:dyDescent="0.25">
      <c r="A39" s="15" t="s">
        <v>556</v>
      </c>
      <c r="B39" s="8" t="str">
        <f t="shared" si="1"/>
        <v>04</v>
      </c>
      <c r="C39" s="8">
        <f t="shared" si="0"/>
        <v>0.75</v>
      </c>
      <c r="D39" s="8" t="str" cm="1">
        <f t="array" ref="D39">VLOOKUP($B39,NAS1352First[],COLUMN(NAS1352First[Thread Size]),FALSE)</f>
        <v>4–40 or 0.112–40 UNC CLASS 3</v>
      </c>
      <c r="E39" s="8" cm="1">
        <f t="array" ref="E39">VLOOKUP($B39,NAS1352First[],COLUMN(NAS1352First[Body Diameter Max]),FALSE)</f>
        <v>0.112</v>
      </c>
      <c r="F39" s="8" cm="1">
        <f t="array" ref="F39">VLOOKUP($B39,NAS1352First[],COLUMN(NAS1352First[Body Diameter Max2]),FALSE)</f>
        <v>0.1075</v>
      </c>
      <c r="G39" s="8" cm="1">
        <f t="array" ref="G39">VLOOKUP($B39,NAS1352First[],COLUMN(NAS1352First[Head Diameter Max]),FALSE)</f>
        <v>0.183</v>
      </c>
      <c r="H39" s="8" cm="1">
        <f t="array" ref="H39">VLOOKUP($B39,NAS1352First[],COLUMN(NAS1352First[Head Diameter Min]),FALSE)</f>
        <v>0.17599999999999999</v>
      </c>
      <c r="I39" s="8" cm="1">
        <f t="array" ref="I39">VLOOKUP($B39,NAS1352First[],COLUMN(NAS1352First[Head Height Max]),FALSE)</f>
        <v>0.112</v>
      </c>
      <c r="J39" s="8" cm="1">
        <f t="array" ref="J39">VLOOKUP($B39,NAS1352First[],COLUMN(NAS1352First[Head Height Min]),FALSE)</f>
        <v>0.108</v>
      </c>
      <c r="K39" s="8" cm="1">
        <f t="array" ref="K39">VLOOKUP($B39,NAS1352First[],COLUMN(NAS1352First[Head Side Height Min]),FALSE)</f>
        <v>0.10100000000000001</v>
      </c>
      <c r="L39" s="8" cm="1">
        <f t="array" ref="L39">VLOOKUP($B39,NAS1352First[],COLUMN(NAS1352First[Nominal Socket Size]),FALSE)</f>
        <v>9.4E-2</v>
      </c>
      <c r="M39" s="8" cm="1">
        <f t="array" ref="M39">VLOOKUP($B39,NAS1352First[],COLUMN(NAS1352First[Key Engagement Min]),FALSE)</f>
        <v>5.0999999999999997E-2</v>
      </c>
      <c r="N39" s="8" cm="1">
        <f t="array" ref="N39">VLOOKUP($B39,NAS1352First[],COLUMN(NAS1352First[Wall Thickness Min]),FALSE)</f>
        <v>3.7999999999999999E-2</v>
      </c>
      <c r="O39" s="8" cm="1">
        <f t="array" ref="O39">VLOOKUP($B39,NAS1352First[],COLUMN(NAS1352First[Chamfer or Radius Max]),FALSE)</f>
        <v>5.0000000000000001E-3</v>
      </c>
      <c r="P39" s="8" cm="1">
        <f t="array" ref="P39">VLOOKUP($B39,NAS1352First[],COLUMN(NAS1352First[Minimum Basic Thread Length]),FALSE)</f>
        <v>0.75</v>
      </c>
      <c r="Q39" s="8" cm="1">
        <f t="array" ref="Q39">VLOOKUP($B39,NAS1352First[],COLUMN(NAS1352First[Drilled Hole Location Max]),FALSE)</f>
        <v>0.04</v>
      </c>
      <c r="R39" s="8" cm="1">
        <f t="array" ref="R39">VLOOKUP($B39,NAS1352First[],COLUMN(NAS1352First[Drilled Hole Location Min]),FALSE)</f>
        <v>2.5999999999999999E-2</v>
      </c>
      <c r="S39" s="8" cm="1">
        <f t="array" ref="S39">VLOOKUP($B39,NAS1352First[],COLUMN(NAS1352First[Drilled Hole Diameter Max]),FALSE)</f>
        <v>3.9E-2</v>
      </c>
      <c r="T39" s="8" cm="1">
        <f t="array" ref="T39">VLOOKUP($B39,NAS1352First[],COLUMN(NAS1352First[Drilled Hole Diameter Min]),FALSE)</f>
        <v>3.3000000000000002E-2</v>
      </c>
      <c r="U39" s="8" cm="1">
        <f t="array" ref="U39">VLOOKUP($B39,NAS1352First[],COLUMN(NAS1352First[Alloy Steel Minimum Breaking Strength (lb)]),FALSE)</f>
        <v>1090</v>
      </c>
      <c r="V39" s="8" cm="1">
        <f t="array" ref="V39">VLOOKUP($B39,NAS1352First[],COLUMN(NAS1352First[Corrosion Resistant Steel Minimum Breaking Strength (lb)]),FALSE)</f>
        <v>480</v>
      </c>
      <c r="W39" s="17" cm="1">
        <f t="array" ref="W39">VLOOKUP($B39,NAS1352First[],COLUMN(NAS1352First[Heat Resistant Steel Minimum Breaking Strength (lb)]),FALSE)</f>
        <v>966</v>
      </c>
    </row>
    <row r="40" spans="1:23" x14ac:dyDescent="0.25">
      <c r="A40" s="15" t="s">
        <v>557</v>
      </c>
      <c r="B40" s="8" t="str">
        <f t="shared" si="1"/>
        <v>06</v>
      </c>
      <c r="C40" s="8">
        <f t="shared" si="0"/>
        <v>0.25</v>
      </c>
      <c r="D40" s="8" t="str" cm="1">
        <f t="array" ref="D40">VLOOKUP($B40,NAS1352First[],COLUMN(NAS1352First[Thread Size]),FALSE)</f>
        <v>6–32 or 0.138–32 UNC CLASS 3</v>
      </c>
      <c r="E40" s="8" cm="1">
        <f t="array" ref="E40">VLOOKUP($B40,NAS1352First[],COLUMN(NAS1352First[Body Diameter Max]),FALSE)</f>
        <v>0.13800000000000001</v>
      </c>
      <c r="F40" s="8" cm="1">
        <f t="array" ref="F40">VLOOKUP($B40,NAS1352First[],COLUMN(NAS1352First[Body Diameter Max2]),FALSE)</f>
        <v>0.13289999999999999</v>
      </c>
      <c r="G40" s="8" cm="1">
        <f t="array" ref="G40">VLOOKUP($B40,NAS1352First[],COLUMN(NAS1352First[Head Diameter Max]),FALSE)</f>
        <v>0.22600000000000001</v>
      </c>
      <c r="H40" s="8" cm="1">
        <f t="array" ref="H40">VLOOKUP($B40,NAS1352First[],COLUMN(NAS1352First[Head Diameter Min]),FALSE)</f>
        <v>0.218</v>
      </c>
      <c r="I40" s="8" cm="1">
        <f t="array" ref="I40">VLOOKUP($B40,NAS1352First[],COLUMN(NAS1352First[Head Height Max]),FALSE)</f>
        <v>0.13800000000000001</v>
      </c>
      <c r="J40" s="8" cm="1">
        <f t="array" ref="J40">VLOOKUP($B40,NAS1352First[],COLUMN(NAS1352First[Head Height Min]),FALSE)</f>
        <v>0.13400000000000001</v>
      </c>
      <c r="K40" s="8" cm="1">
        <f t="array" ref="K40">VLOOKUP($B40,NAS1352First[],COLUMN(NAS1352First[Head Side Height Min]),FALSE)</f>
        <v>0.124</v>
      </c>
      <c r="L40" s="8" cm="1">
        <f t="array" ref="L40">VLOOKUP($B40,NAS1352First[],COLUMN(NAS1352First[Nominal Socket Size]),FALSE)</f>
        <v>0.109</v>
      </c>
      <c r="M40" s="8" cm="1">
        <f t="array" ref="M40">VLOOKUP($B40,NAS1352First[],COLUMN(NAS1352First[Key Engagement Min]),FALSE)</f>
        <v>6.4000000000000001E-2</v>
      </c>
      <c r="N40" s="8" cm="1">
        <f t="array" ref="N40">VLOOKUP($B40,NAS1352First[],COLUMN(NAS1352First[Wall Thickness Min]),FALSE)</f>
        <v>4.7E-2</v>
      </c>
      <c r="O40" s="8" cm="1">
        <f t="array" ref="O40">VLOOKUP($B40,NAS1352First[],COLUMN(NAS1352First[Chamfer or Radius Max]),FALSE)</f>
        <v>5.0000000000000001E-3</v>
      </c>
      <c r="P40" s="8" cm="1">
        <f t="array" ref="P40">VLOOKUP($B40,NAS1352First[],COLUMN(NAS1352First[Minimum Basic Thread Length]),FALSE)</f>
        <v>0.75</v>
      </c>
      <c r="Q40" s="8" cm="1">
        <f t="array" ref="Q40">VLOOKUP($B40,NAS1352First[],COLUMN(NAS1352First[Drilled Hole Location Max]),FALSE)</f>
        <v>0.05</v>
      </c>
      <c r="R40" s="8" cm="1">
        <f t="array" ref="R40">VLOOKUP($B40,NAS1352First[],COLUMN(NAS1352First[Drilled Hole Location Min]),FALSE)</f>
        <v>3.5000000000000003E-2</v>
      </c>
      <c r="S40" s="8" cm="1">
        <f t="array" ref="S40">VLOOKUP($B40,NAS1352First[],COLUMN(NAS1352First[Drilled Hole Diameter Max]),FALSE)</f>
        <v>3.9E-2</v>
      </c>
      <c r="T40" s="8" cm="1">
        <f t="array" ref="T40">VLOOKUP($B40,NAS1352First[],COLUMN(NAS1352First[Drilled Hole Diameter Min]),FALSE)</f>
        <v>3.3000000000000002E-2</v>
      </c>
      <c r="U40" s="8" cm="1">
        <f t="array" ref="U40">VLOOKUP($B40,NAS1352First[],COLUMN(NAS1352First[Alloy Steel Minimum Breaking Strength (lb)]),FALSE)</f>
        <v>1640</v>
      </c>
      <c r="V40" s="8" cm="1">
        <f t="array" ref="V40">VLOOKUP($B40,NAS1352First[],COLUMN(NAS1352First[Corrosion Resistant Steel Minimum Breaking Strength (lb)]),FALSE)</f>
        <v>730</v>
      </c>
      <c r="W40" s="17" cm="1">
        <f t="array" ref="W40">VLOOKUP($B40,NAS1352First[],COLUMN(NAS1352First[Heat Resistant Steel Minimum Breaking Strength (lb)]),FALSE)</f>
        <v>1458</v>
      </c>
    </row>
    <row r="41" spans="1:23" x14ac:dyDescent="0.25">
      <c r="A41" s="15" t="s">
        <v>558</v>
      </c>
      <c r="B41" s="8" t="str">
        <f t="shared" si="1"/>
        <v>06</v>
      </c>
      <c r="C41" s="8">
        <f t="shared" si="0"/>
        <v>0.375</v>
      </c>
      <c r="D41" s="8" t="str" cm="1">
        <f t="array" ref="D41">VLOOKUP($B41,NAS1352First[],COLUMN(NAS1352First[Thread Size]),FALSE)</f>
        <v>6–32 or 0.138–32 UNC CLASS 3</v>
      </c>
      <c r="E41" s="8" cm="1">
        <f t="array" ref="E41">VLOOKUP($B41,NAS1352First[],COLUMN(NAS1352First[Body Diameter Max]),FALSE)</f>
        <v>0.13800000000000001</v>
      </c>
      <c r="F41" s="8" cm="1">
        <f t="array" ref="F41">VLOOKUP($B41,NAS1352First[],COLUMN(NAS1352First[Body Diameter Max2]),FALSE)</f>
        <v>0.13289999999999999</v>
      </c>
      <c r="G41" s="8" cm="1">
        <f t="array" ref="G41">VLOOKUP($B41,NAS1352First[],COLUMN(NAS1352First[Head Diameter Max]),FALSE)</f>
        <v>0.22600000000000001</v>
      </c>
      <c r="H41" s="8" cm="1">
        <f t="array" ref="H41">VLOOKUP($B41,NAS1352First[],COLUMN(NAS1352First[Head Diameter Min]),FALSE)</f>
        <v>0.218</v>
      </c>
      <c r="I41" s="8" cm="1">
        <f t="array" ref="I41">VLOOKUP($B41,NAS1352First[],COLUMN(NAS1352First[Head Height Max]),FALSE)</f>
        <v>0.13800000000000001</v>
      </c>
      <c r="J41" s="8" cm="1">
        <f t="array" ref="J41">VLOOKUP($B41,NAS1352First[],COLUMN(NAS1352First[Head Height Min]),FALSE)</f>
        <v>0.13400000000000001</v>
      </c>
      <c r="K41" s="8" cm="1">
        <f t="array" ref="K41">VLOOKUP($B41,NAS1352First[],COLUMN(NAS1352First[Head Side Height Min]),FALSE)</f>
        <v>0.124</v>
      </c>
      <c r="L41" s="8" cm="1">
        <f t="array" ref="L41">VLOOKUP($B41,NAS1352First[],COLUMN(NAS1352First[Nominal Socket Size]),FALSE)</f>
        <v>0.109</v>
      </c>
      <c r="M41" s="8" cm="1">
        <f t="array" ref="M41">VLOOKUP($B41,NAS1352First[],COLUMN(NAS1352First[Key Engagement Min]),FALSE)</f>
        <v>6.4000000000000001E-2</v>
      </c>
      <c r="N41" s="8" cm="1">
        <f t="array" ref="N41">VLOOKUP($B41,NAS1352First[],COLUMN(NAS1352First[Wall Thickness Min]),FALSE)</f>
        <v>4.7E-2</v>
      </c>
      <c r="O41" s="8" cm="1">
        <f t="array" ref="O41">VLOOKUP($B41,NAS1352First[],COLUMN(NAS1352First[Chamfer or Radius Max]),FALSE)</f>
        <v>5.0000000000000001E-3</v>
      </c>
      <c r="P41" s="8" cm="1">
        <f t="array" ref="P41">VLOOKUP($B41,NAS1352First[],COLUMN(NAS1352First[Minimum Basic Thread Length]),FALSE)</f>
        <v>0.75</v>
      </c>
      <c r="Q41" s="8" cm="1">
        <f t="array" ref="Q41">VLOOKUP($B41,NAS1352First[],COLUMN(NAS1352First[Drilled Hole Location Max]),FALSE)</f>
        <v>0.05</v>
      </c>
      <c r="R41" s="8" cm="1">
        <f t="array" ref="R41">VLOOKUP($B41,NAS1352First[],COLUMN(NAS1352First[Drilled Hole Location Min]),FALSE)</f>
        <v>3.5000000000000003E-2</v>
      </c>
      <c r="S41" s="8" cm="1">
        <f t="array" ref="S41">VLOOKUP($B41,NAS1352First[],COLUMN(NAS1352First[Drilled Hole Diameter Max]),FALSE)</f>
        <v>3.9E-2</v>
      </c>
      <c r="T41" s="8" cm="1">
        <f t="array" ref="T41">VLOOKUP($B41,NAS1352First[],COLUMN(NAS1352First[Drilled Hole Diameter Min]),FALSE)</f>
        <v>3.3000000000000002E-2</v>
      </c>
      <c r="U41" s="8" cm="1">
        <f t="array" ref="U41">VLOOKUP($B41,NAS1352First[],COLUMN(NAS1352First[Alloy Steel Minimum Breaking Strength (lb)]),FALSE)</f>
        <v>1640</v>
      </c>
      <c r="V41" s="8" cm="1">
        <f t="array" ref="V41">VLOOKUP($B41,NAS1352First[],COLUMN(NAS1352First[Corrosion Resistant Steel Minimum Breaking Strength (lb)]),FALSE)</f>
        <v>730</v>
      </c>
      <c r="W41" s="17" cm="1">
        <f t="array" ref="W41">VLOOKUP($B41,NAS1352First[],COLUMN(NAS1352First[Heat Resistant Steel Minimum Breaking Strength (lb)]),FALSE)</f>
        <v>1458</v>
      </c>
    </row>
    <row r="42" spans="1:23" x14ac:dyDescent="0.25">
      <c r="A42" s="15" t="s">
        <v>559</v>
      </c>
      <c r="B42" s="8" t="str">
        <f t="shared" si="1"/>
        <v>06</v>
      </c>
      <c r="C42" s="8">
        <f t="shared" si="0"/>
        <v>0.5</v>
      </c>
      <c r="D42" s="8" t="str" cm="1">
        <f t="array" ref="D42">VLOOKUP($B42,NAS1352First[],COLUMN(NAS1352First[Thread Size]),FALSE)</f>
        <v>6–32 or 0.138–32 UNC CLASS 3</v>
      </c>
      <c r="E42" s="8" cm="1">
        <f t="array" ref="E42">VLOOKUP($B42,NAS1352First[],COLUMN(NAS1352First[Body Diameter Max]),FALSE)</f>
        <v>0.13800000000000001</v>
      </c>
      <c r="F42" s="8" cm="1">
        <f t="array" ref="F42">VLOOKUP($B42,NAS1352First[],COLUMN(NAS1352First[Body Diameter Max2]),FALSE)</f>
        <v>0.13289999999999999</v>
      </c>
      <c r="G42" s="8" cm="1">
        <f t="array" ref="G42">VLOOKUP($B42,NAS1352First[],COLUMN(NAS1352First[Head Diameter Max]),FALSE)</f>
        <v>0.22600000000000001</v>
      </c>
      <c r="H42" s="8" cm="1">
        <f t="array" ref="H42">VLOOKUP($B42,NAS1352First[],COLUMN(NAS1352First[Head Diameter Min]),FALSE)</f>
        <v>0.218</v>
      </c>
      <c r="I42" s="8" cm="1">
        <f t="array" ref="I42">VLOOKUP($B42,NAS1352First[],COLUMN(NAS1352First[Head Height Max]),FALSE)</f>
        <v>0.13800000000000001</v>
      </c>
      <c r="J42" s="8" cm="1">
        <f t="array" ref="J42">VLOOKUP($B42,NAS1352First[],COLUMN(NAS1352First[Head Height Min]),FALSE)</f>
        <v>0.13400000000000001</v>
      </c>
      <c r="K42" s="8" cm="1">
        <f t="array" ref="K42">VLOOKUP($B42,NAS1352First[],COLUMN(NAS1352First[Head Side Height Min]),FALSE)</f>
        <v>0.124</v>
      </c>
      <c r="L42" s="8" cm="1">
        <f t="array" ref="L42">VLOOKUP($B42,NAS1352First[],COLUMN(NAS1352First[Nominal Socket Size]),FALSE)</f>
        <v>0.109</v>
      </c>
      <c r="M42" s="8" cm="1">
        <f t="array" ref="M42">VLOOKUP($B42,NAS1352First[],COLUMN(NAS1352First[Key Engagement Min]),FALSE)</f>
        <v>6.4000000000000001E-2</v>
      </c>
      <c r="N42" s="8" cm="1">
        <f t="array" ref="N42">VLOOKUP($B42,NAS1352First[],COLUMN(NAS1352First[Wall Thickness Min]),FALSE)</f>
        <v>4.7E-2</v>
      </c>
      <c r="O42" s="8" cm="1">
        <f t="array" ref="O42">VLOOKUP($B42,NAS1352First[],COLUMN(NAS1352First[Chamfer or Radius Max]),FALSE)</f>
        <v>5.0000000000000001E-3</v>
      </c>
      <c r="P42" s="8" cm="1">
        <f t="array" ref="P42">VLOOKUP($B42,NAS1352First[],COLUMN(NAS1352First[Minimum Basic Thread Length]),FALSE)</f>
        <v>0.75</v>
      </c>
      <c r="Q42" s="8" cm="1">
        <f t="array" ref="Q42">VLOOKUP($B42,NAS1352First[],COLUMN(NAS1352First[Drilled Hole Location Max]),FALSE)</f>
        <v>0.05</v>
      </c>
      <c r="R42" s="8" cm="1">
        <f t="array" ref="R42">VLOOKUP($B42,NAS1352First[],COLUMN(NAS1352First[Drilled Hole Location Min]),FALSE)</f>
        <v>3.5000000000000003E-2</v>
      </c>
      <c r="S42" s="8" cm="1">
        <f t="array" ref="S42">VLOOKUP($B42,NAS1352First[],COLUMN(NAS1352First[Drilled Hole Diameter Max]),FALSE)</f>
        <v>3.9E-2</v>
      </c>
      <c r="T42" s="8" cm="1">
        <f t="array" ref="T42">VLOOKUP($B42,NAS1352First[],COLUMN(NAS1352First[Drilled Hole Diameter Min]),FALSE)</f>
        <v>3.3000000000000002E-2</v>
      </c>
      <c r="U42" s="8" cm="1">
        <f t="array" ref="U42">VLOOKUP($B42,NAS1352First[],COLUMN(NAS1352First[Alloy Steel Minimum Breaking Strength (lb)]),FALSE)</f>
        <v>1640</v>
      </c>
      <c r="V42" s="8" cm="1">
        <f t="array" ref="V42">VLOOKUP($B42,NAS1352First[],COLUMN(NAS1352First[Corrosion Resistant Steel Minimum Breaking Strength (lb)]),FALSE)</f>
        <v>730</v>
      </c>
      <c r="W42" s="17" cm="1">
        <f t="array" ref="W42">VLOOKUP($B42,NAS1352First[],COLUMN(NAS1352First[Heat Resistant Steel Minimum Breaking Strength (lb)]),FALSE)</f>
        <v>1458</v>
      </c>
    </row>
    <row r="43" spans="1:23" x14ac:dyDescent="0.25">
      <c r="A43" s="15" t="s">
        <v>560</v>
      </c>
      <c r="B43" s="8" t="str">
        <f t="shared" si="1"/>
        <v>06</v>
      </c>
      <c r="C43" s="8">
        <f t="shared" si="0"/>
        <v>0.625</v>
      </c>
      <c r="D43" s="8" t="str" cm="1">
        <f t="array" ref="D43">VLOOKUP($B43,NAS1352First[],COLUMN(NAS1352First[Thread Size]),FALSE)</f>
        <v>6–32 or 0.138–32 UNC CLASS 3</v>
      </c>
      <c r="E43" s="8" cm="1">
        <f t="array" ref="E43">VLOOKUP($B43,NAS1352First[],COLUMN(NAS1352First[Body Diameter Max]),FALSE)</f>
        <v>0.13800000000000001</v>
      </c>
      <c r="F43" s="8" cm="1">
        <f t="array" ref="F43">VLOOKUP($B43,NAS1352First[],COLUMN(NAS1352First[Body Diameter Max2]),FALSE)</f>
        <v>0.13289999999999999</v>
      </c>
      <c r="G43" s="8" cm="1">
        <f t="array" ref="G43">VLOOKUP($B43,NAS1352First[],COLUMN(NAS1352First[Head Diameter Max]),FALSE)</f>
        <v>0.22600000000000001</v>
      </c>
      <c r="H43" s="8" cm="1">
        <f t="array" ref="H43">VLOOKUP($B43,NAS1352First[],COLUMN(NAS1352First[Head Diameter Min]),FALSE)</f>
        <v>0.218</v>
      </c>
      <c r="I43" s="8" cm="1">
        <f t="array" ref="I43">VLOOKUP($B43,NAS1352First[],COLUMN(NAS1352First[Head Height Max]),FALSE)</f>
        <v>0.13800000000000001</v>
      </c>
      <c r="J43" s="8" cm="1">
        <f t="array" ref="J43">VLOOKUP($B43,NAS1352First[],COLUMN(NAS1352First[Head Height Min]),FALSE)</f>
        <v>0.13400000000000001</v>
      </c>
      <c r="K43" s="8" cm="1">
        <f t="array" ref="K43">VLOOKUP($B43,NAS1352First[],COLUMN(NAS1352First[Head Side Height Min]),FALSE)</f>
        <v>0.124</v>
      </c>
      <c r="L43" s="8" cm="1">
        <f t="array" ref="L43">VLOOKUP($B43,NAS1352First[],COLUMN(NAS1352First[Nominal Socket Size]),FALSE)</f>
        <v>0.109</v>
      </c>
      <c r="M43" s="8" cm="1">
        <f t="array" ref="M43">VLOOKUP($B43,NAS1352First[],COLUMN(NAS1352First[Key Engagement Min]),FALSE)</f>
        <v>6.4000000000000001E-2</v>
      </c>
      <c r="N43" s="8" cm="1">
        <f t="array" ref="N43">VLOOKUP($B43,NAS1352First[],COLUMN(NAS1352First[Wall Thickness Min]),FALSE)</f>
        <v>4.7E-2</v>
      </c>
      <c r="O43" s="8" cm="1">
        <f t="array" ref="O43">VLOOKUP($B43,NAS1352First[],COLUMN(NAS1352First[Chamfer or Radius Max]),FALSE)</f>
        <v>5.0000000000000001E-3</v>
      </c>
      <c r="P43" s="8" cm="1">
        <f t="array" ref="P43">VLOOKUP($B43,NAS1352First[],COLUMN(NAS1352First[Minimum Basic Thread Length]),FALSE)</f>
        <v>0.75</v>
      </c>
      <c r="Q43" s="8" cm="1">
        <f t="array" ref="Q43">VLOOKUP($B43,NAS1352First[],COLUMN(NAS1352First[Drilled Hole Location Max]),FALSE)</f>
        <v>0.05</v>
      </c>
      <c r="R43" s="8" cm="1">
        <f t="array" ref="R43">VLOOKUP($B43,NAS1352First[],COLUMN(NAS1352First[Drilled Hole Location Min]),FALSE)</f>
        <v>3.5000000000000003E-2</v>
      </c>
      <c r="S43" s="8" cm="1">
        <f t="array" ref="S43">VLOOKUP($B43,NAS1352First[],COLUMN(NAS1352First[Drilled Hole Diameter Max]),FALSE)</f>
        <v>3.9E-2</v>
      </c>
      <c r="T43" s="8" cm="1">
        <f t="array" ref="T43">VLOOKUP($B43,NAS1352First[],COLUMN(NAS1352First[Drilled Hole Diameter Min]),FALSE)</f>
        <v>3.3000000000000002E-2</v>
      </c>
      <c r="U43" s="8" cm="1">
        <f t="array" ref="U43">VLOOKUP($B43,NAS1352First[],COLUMN(NAS1352First[Alloy Steel Minimum Breaking Strength (lb)]),FALSE)</f>
        <v>1640</v>
      </c>
      <c r="V43" s="8" cm="1">
        <f t="array" ref="V43">VLOOKUP($B43,NAS1352First[],COLUMN(NAS1352First[Corrosion Resistant Steel Minimum Breaking Strength (lb)]),FALSE)</f>
        <v>730</v>
      </c>
      <c r="W43" s="17" cm="1">
        <f t="array" ref="W43">VLOOKUP($B43,NAS1352First[],COLUMN(NAS1352First[Heat Resistant Steel Minimum Breaking Strength (lb)]),FALSE)</f>
        <v>1458</v>
      </c>
    </row>
    <row r="44" spans="1:23" x14ac:dyDescent="0.25">
      <c r="A44" s="15" t="s">
        <v>561</v>
      </c>
      <c r="B44" s="8" t="str">
        <f t="shared" si="1"/>
        <v>06</v>
      </c>
      <c r="C44" s="8">
        <f t="shared" si="0"/>
        <v>0.75</v>
      </c>
      <c r="D44" s="8" t="str" cm="1">
        <f t="array" ref="D44">VLOOKUP($B44,NAS1352First[],COLUMN(NAS1352First[Thread Size]),FALSE)</f>
        <v>6–32 or 0.138–32 UNC CLASS 3</v>
      </c>
      <c r="E44" s="8" cm="1">
        <f t="array" ref="E44">VLOOKUP($B44,NAS1352First[],COLUMN(NAS1352First[Body Diameter Max]),FALSE)</f>
        <v>0.13800000000000001</v>
      </c>
      <c r="F44" s="8" cm="1">
        <f t="array" ref="F44">VLOOKUP($B44,NAS1352First[],COLUMN(NAS1352First[Body Diameter Max2]),FALSE)</f>
        <v>0.13289999999999999</v>
      </c>
      <c r="G44" s="8" cm="1">
        <f t="array" ref="G44">VLOOKUP($B44,NAS1352First[],COLUMN(NAS1352First[Head Diameter Max]),FALSE)</f>
        <v>0.22600000000000001</v>
      </c>
      <c r="H44" s="8" cm="1">
        <f t="array" ref="H44">VLOOKUP($B44,NAS1352First[],COLUMN(NAS1352First[Head Diameter Min]),FALSE)</f>
        <v>0.218</v>
      </c>
      <c r="I44" s="8" cm="1">
        <f t="array" ref="I44">VLOOKUP($B44,NAS1352First[],COLUMN(NAS1352First[Head Height Max]),FALSE)</f>
        <v>0.13800000000000001</v>
      </c>
      <c r="J44" s="8" cm="1">
        <f t="array" ref="J44">VLOOKUP($B44,NAS1352First[],COLUMN(NAS1352First[Head Height Min]),FALSE)</f>
        <v>0.13400000000000001</v>
      </c>
      <c r="K44" s="8" cm="1">
        <f t="array" ref="K44">VLOOKUP($B44,NAS1352First[],COLUMN(NAS1352First[Head Side Height Min]),FALSE)</f>
        <v>0.124</v>
      </c>
      <c r="L44" s="8" cm="1">
        <f t="array" ref="L44">VLOOKUP($B44,NAS1352First[],COLUMN(NAS1352First[Nominal Socket Size]),FALSE)</f>
        <v>0.109</v>
      </c>
      <c r="M44" s="8" cm="1">
        <f t="array" ref="M44">VLOOKUP($B44,NAS1352First[],COLUMN(NAS1352First[Key Engagement Min]),FALSE)</f>
        <v>6.4000000000000001E-2</v>
      </c>
      <c r="N44" s="8" cm="1">
        <f t="array" ref="N44">VLOOKUP($B44,NAS1352First[],COLUMN(NAS1352First[Wall Thickness Min]),FALSE)</f>
        <v>4.7E-2</v>
      </c>
      <c r="O44" s="8" cm="1">
        <f t="array" ref="O44">VLOOKUP($B44,NAS1352First[],COLUMN(NAS1352First[Chamfer or Radius Max]),FALSE)</f>
        <v>5.0000000000000001E-3</v>
      </c>
      <c r="P44" s="8" cm="1">
        <f t="array" ref="P44">VLOOKUP($B44,NAS1352First[],COLUMN(NAS1352First[Minimum Basic Thread Length]),FALSE)</f>
        <v>0.75</v>
      </c>
      <c r="Q44" s="8" cm="1">
        <f t="array" ref="Q44">VLOOKUP($B44,NAS1352First[],COLUMN(NAS1352First[Drilled Hole Location Max]),FALSE)</f>
        <v>0.05</v>
      </c>
      <c r="R44" s="8" cm="1">
        <f t="array" ref="R44">VLOOKUP($B44,NAS1352First[],COLUMN(NAS1352First[Drilled Hole Location Min]),FALSE)</f>
        <v>3.5000000000000003E-2</v>
      </c>
      <c r="S44" s="8" cm="1">
        <f t="array" ref="S44">VLOOKUP($B44,NAS1352First[],COLUMN(NAS1352First[Drilled Hole Diameter Max]),FALSE)</f>
        <v>3.9E-2</v>
      </c>
      <c r="T44" s="8" cm="1">
        <f t="array" ref="T44">VLOOKUP($B44,NAS1352First[],COLUMN(NAS1352First[Drilled Hole Diameter Min]),FALSE)</f>
        <v>3.3000000000000002E-2</v>
      </c>
      <c r="U44" s="8" cm="1">
        <f t="array" ref="U44">VLOOKUP($B44,NAS1352First[],COLUMN(NAS1352First[Alloy Steel Minimum Breaking Strength (lb)]),FALSE)</f>
        <v>1640</v>
      </c>
      <c r="V44" s="8" cm="1">
        <f t="array" ref="V44">VLOOKUP($B44,NAS1352First[],COLUMN(NAS1352First[Corrosion Resistant Steel Minimum Breaking Strength (lb)]),FALSE)</f>
        <v>730</v>
      </c>
      <c r="W44" s="17" cm="1">
        <f t="array" ref="W44">VLOOKUP($B44,NAS1352First[],COLUMN(NAS1352First[Heat Resistant Steel Minimum Breaking Strength (lb)]),FALSE)</f>
        <v>1458</v>
      </c>
    </row>
    <row r="45" spans="1:23" x14ac:dyDescent="0.25">
      <c r="A45" s="15" t="s">
        <v>562</v>
      </c>
      <c r="B45" s="8" t="str">
        <f t="shared" si="1"/>
        <v>06</v>
      </c>
      <c r="C45" s="8">
        <f t="shared" si="0"/>
        <v>0.875</v>
      </c>
      <c r="D45" s="8" t="str" cm="1">
        <f t="array" ref="D45">VLOOKUP($B45,NAS1352First[],COLUMN(NAS1352First[Thread Size]),FALSE)</f>
        <v>6–32 or 0.138–32 UNC CLASS 3</v>
      </c>
      <c r="E45" s="8" cm="1">
        <f t="array" ref="E45">VLOOKUP($B45,NAS1352First[],COLUMN(NAS1352First[Body Diameter Max]),FALSE)</f>
        <v>0.13800000000000001</v>
      </c>
      <c r="F45" s="8" cm="1">
        <f t="array" ref="F45">VLOOKUP($B45,NAS1352First[],COLUMN(NAS1352First[Body Diameter Max2]),FALSE)</f>
        <v>0.13289999999999999</v>
      </c>
      <c r="G45" s="8" cm="1">
        <f t="array" ref="G45">VLOOKUP($B45,NAS1352First[],COLUMN(NAS1352First[Head Diameter Max]),FALSE)</f>
        <v>0.22600000000000001</v>
      </c>
      <c r="H45" s="8" cm="1">
        <f t="array" ref="H45">VLOOKUP($B45,NAS1352First[],COLUMN(NAS1352First[Head Diameter Min]),FALSE)</f>
        <v>0.218</v>
      </c>
      <c r="I45" s="8" cm="1">
        <f t="array" ref="I45">VLOOKUP($B45,NAS1352First[],COLUMN(NAS1352First[Head Height Max]),FALSE)</f>
        <v>0.13800000000000001</v>
      </c>
      <c r="J45" s="8" cm="1">
        <f t="array" ref="J45">VLOOKUP($B45,NAS1352First[],COLUMN(NAS1352First[Head Height Min]),FALSE)</f>
        <v>0.13400000000000001</v>
      </c>
      <c r="K45" s="8" cm="1">
        <f t="array" ref="K45">VLOOKUP($B45,NAS1352First[],COLUMN(NAS1352First[Head Side Height Min]),FALSE)</f>
        <v>0.124</v>
      </c>
      <c r="L45" s="8" cm="1">
        <f t="array" ref="L45">VLOOKUP($B45,NAS1352First[],COLUMN(NAS1352First[Nominal Socket Size]),FALSE)</f>
        <v>0.109</v>
      </c>
      <c r="M45" s="8" cm="1">
        <f t="array" ref="M45">VLOOKUP($B45,NAS1352First[],COLUMN(NAS1352First[Key Engagement Min]),FALSE)</f>
        <v>6.4000000000000001E-2</v>
      </c>
      <c r="N45" s="8" cm="1">
        <f t="array" ref="N45">VLOOKUP($B45,NAS1352First[],COLUMN(NAS1352First[Wall Thickness Min]),FALSE)</f>
        <v>4.7E-2</v>
      </c>
      <c r="O45" s="8" cm="1">
        <f t="array" ref="O45">VLOOKUP($B45,NAS1352First[],COLUMN(NAS1352First[Chamfer or Radius Max]),FALSE)</f>
        <v>5.0000000000000001E-3</v>
      </c>
      <c r="P45" s="8" cm="1">
        <f t="array" ref="P45">VLOOKUP($B45,NAS1352First[],COLUMN(NAS1352First[Minimum Basic Thread Length]),FALSE)</f>
        <v>0.75</v>
      </c>
      <c r="Q45" s="8" cm="1">
        <f t="array" ref="Q45">VLOOKUP($B45,NAS1352First[],COLUMN(NAS1352First[Drilled Hole Location Max]),FALSE)</f>
        <v>0.05</v>
      </c>
      <c r="R45" s="8" cm="1">
        <f t="array" ref="R45">VLOOKUP($B45,NAS1352First[],COLUMN(NAS1352First[Drilled Hole Location Min]),FALSE)</f>
        <v>3.5000000000000003E-2</v>
      </c>
      <c r="S45" s="8" cm="1">
        <f t="array" ref="S45">VLOOKUP($B45,NAS1352First[],COLUMN(NAS1352First[Drilled Hole Diameter Max]),FALSE)</f>
        <v>3.9E-2</v>
      </c>
      <c r="T45" s="8" cm="1">
        <f t="array" ref="T45">VLOOKUP($B45,NAS1352First[],COLUMN(NAS1352First[Drilled Hole Diameter Min]),FALSE)</f>
        <v>3.3000000000000002E-2</v>
      </c>
      <c r="U45" s="8" cm="1">
        <f t="array" ref="U45">VLOOKUP($B45,NAS1352First[],COLUMN(NAS1352First[Alloy Steel Minimum Breaking Strength (lb)]),FALSE)</f>
        <v>1640</v>
      </c>
      <c r="V45" s="8" cm="1">
        <f t="array" ref="V45">VLOOKUP($B45,NAS1352First[],COLUMN(NAS1352First[Corrosion Resistant Steel Minimum Breaking Strength (lb)]),FALSE)</f>
        <v>730</v>
      </c>
      <c r="W45" s="17" cm="1">
        <f t="array" ref="W45">VLOOKUP($B45,NAS1352First[],COLUMN(NAS1352First[Heat Resistant Steel Minimum Breaking Strength (lb)]),FALSE)</f>
        <v>1458</v>
      </c>
    </row>
    <row r="46" spans="1:23" x14ac:dyDescent="0.25">
      <c r="A46" s="15" t="s">
        <v>563</v>
      </c>
      <c r="B46" s="8" t="str">
        <f t="shared" si="1"/>
        <v>06</v>
      </c>
      <c r="C46" s="8">
        <f t="shared" si="0"/>
        <v>1</v>
      </c>
      <c r="D46" s="8" t="str" cm="1">
        <f t="array" ref="D46">VLOOKUP($B46,NAS1352First[],COLUMN(NAS1352First[Thread Size]),FALSE)</f>
        <v>6–32 or 0.138–32 UNC CLASS 3</v>
      </c>
      <c r="E46" s="8" cm="1">
        <f t="array" ref="E46">VLOOKUP($B46,NAS1352First[],COLUMN(NAS1352First[Body Diameter Max]),FALSE)</f>
        <v>0.13800000000000001</v>
      </c>
      <c r="F46" s="8" cm="1">
        <f t="array" ref="F46">VLOOKUP($B46,NAS1352First[],COLUMN(NAS1352First[Body Diameter Max2]),FALSE)</f>
        <v>0.13289999999999999</v>
      </c>
      <c r="G46" s="8" cm="1">
        <f t="array" ref="G46">VLOOKUP($B46,NAS1352First[],COLUMN(NAS1352First[Head Diameter Max]),FALSE)</f>
        <v>0.22600000000000001</v>
      </c>
      <c r="H46" s="8" cm="1">
        <f t="array" ref="H46">VLOOKUP($B46,NAS1352First[],COLUMN(NAS1352First[Head Diameter Min]),FALSE)</f>
        <v>0.218</v>
      </c>
      <c r="I46" s="8" cm="1">
        <f t="array" ref="I46">VLOOKUP($B46,NAS1352First[],COLUMN(NAS1352First[Head Height Max]),FALSE)</f>
        <v>0.13800000000000001</v>
      </c>
      <c r="J46" s="8" cm="1">
        <f t="array" ref="J46">VLOOKUP($B46,NAS1352First[],COLUMN(NAS1352First[Head Height Min]),FALSE)</f>
        <v>0.13400000000000001</v>
      </c>
      <c r="K46" s="8" cm="1">
        <f t="array" ref="K46">VLOOKUP($B46,NAS1352First[],COLUMN(NAS1352First[Head Side Height Min]),FALSE)</f>
        <v>0.124</v>
      </c>
      <c r="L46" s="8" cm="1">
        <f t="array" ref="L46">VLOOKUP($B46,NAS1352First[],COLUMN(NAS1352First[Nominal Socket Size]),FALSE)</f>
        <v>0.109</v>
      </c>
      <c r="M46" s="8" cm="1">
        <f t="array" ref="M46">VLOOKUP($B46,NAS1352First[],COLUMN(NAS1352First[Key Engagement Min]),FALSE)</f>
        <v>6.4000000000000001E-2</v>
      </c>
      <c r="N46" s="8" cm="1">
        <f t="array" ref="N46">VLOOKUP($B46,NAS1352First[],COLUMN(NAS1352First[Wall Thickness Min]),FALSE)</f>
        <v>4.7E-2</v>
      </c>
      <c r="O46" s="8" cm="1">
        <f t="array" ref="O46">VLOOKUP($B46,NAS1352First[],COLUMN(NAS1352First[Chamfer or Radius Max]),FALSE)</f>
        <v>5.0000000000000001E-3</v>
      </c>
      <c r="P46" s="8" cm="1">
        <f t="array" ref="P46">VLOOKUP($B46,NAS1352First[],COLUMN(NAS1352First[Minimum Basic Thread Length]),FALSE)</f>
        <v>0.75</v>
      </c>
      <c r="Q46" s="8" cm="1">
        <f t="array" ref="Q46">VLOOKUP($B46,NAS1352First[],COLUMN(NAS1352First[Drilled Hole Location Max]),FALSE)</f>
        <v>0.05</v>
      </c>
      <c r="R46" s="8" cm="1">
        <f t="array" ref="R46">VLOOKUP($B46,NAS1352First[],COLUMN(NAS1352First[Drilled Hole Location Min]),FALSE)</f>
        <v>3.5000000000000003E-2</v>
      </c>
      <c r="S46" s="8" cm="1">
        <f t="array" ref="S46">VLOOKUP($B46,NAS1352First[],COLUMN(NAS1352First[Drilled Hole Diameter Max]),FALSE)</f>
        <v>3.9E-2</v>
      </c>
      <c r="T46" s="8" cm="1">
        <f t="array" ref="T46">VLOOKUP($B46,NAS1352First[],COLUMN(NAS1352First[Drilled Hole Diameter Min]),FALSE)</f>
        <v>3.3000000000000002E-2</v>
      </c>
      <c r="U46" s="8" cm="1">
        <f t="array" ref="U46">VLOOKUP($B46,NAS1352First[],COLUMN(NAS1352First[Alloy Steel Minimum Breaking Strength (lb)]),FALSE)</f>
        <v>1640</v>
      </c>
      <c r="V46" s="8" cm="1">
        <f t="array" ref="V46">VLOOKUP($B46,NAS1352First[],COLUMN(NAS1352First[Corrosion Resistant Steel Minimum Breaking Strength (lb)]),FALSE)</f>
        <v>730</v>
      </c>
      <c r="W46" s="17" cm="1">
        <f t="array" ref="W46">VLOOKUP($B46,NAS1352First[],COLUMN(NAS1352First[Heat Resistant Steel Minimum Breaking Strength (lb)]),FALSE)</f>
        <v>1458</v>
      </c>
    </row>
    <row r="47" spans="1:23" x14ac:dyDescent="0.25">
      <c r="A47" s="15" t="s">
        <v>564</v>
      </c>
      <c r="B47" s="8" t="str">
        <f t="shared" si="1"/>
        <v>08</v>
      </c>
      <c r="C47" s="8">
        <f t="shared" si="0"/>
        <v>0.25</v>
      </c>
      <c r="D47" s="8" t="str" cm="1">
        <f t="array" ref="D47">VLOOKUP($B47,NAS1352First[],COLUMN(NAS1352First[Thread Size]),FALSE)</f>
        <v>8-32 or 0.164-32 UNC CLASS 3</v>
      </c>
      <c r="E47" s="8" cm="1">
        <f t="array" ref="E47">VLOOKUP($B47,NAS1352First[],COLUMN(NAS1352First[Body Diameter Max]),FALSE)</f>
        <v>0.16400000000000001</v>
      </c>
      <c r="F47" s="8" cm="1">
        <f t="array" ref="F47">VLOOKUP($B47,NAS1352First[],COLUMN(NAS1352First[Body Diameter Max2]),FALSE)</f>
        <v>0.1585</v>
      </c>
      <c r="G47" s="8" cm="1">
        <f t="array" ref="G47">VLOOKUP($B47,NAS1352First[],COLUMN(NAS1352First[Head Diameter Max]),FALSE)</f>
        <v>0.27</v>
      </c>
      <c r="H47" s="8" cm="1">
        <f t="array" ref="H47">VLOOKUP($B47,NAS1352First[],COLUMN(NAS1352First[Head Diameter Min]),FALSE)</f>
        <v>0.26200000000000001</v>
      </c>
      <c r="I47" s="8" cm="1">
        <f t="array" ref="I47">VLOOKUP($B47,NAS1352First[],COLUMN(NAS1352First[Head Height Max]),FALSE)</f>
        <v>0.16400000000000001</v>
      </c>
      <c r="J47" s="8" cm="1">
        <f t="array" ref="J47">VLOOKUP($B47,NAS1352First[],COLUMN(NAS1352First[Head Height Min]),FALSE)</f>
        <v>0.159</v>
      </c>
      <c r="K47" s="8" cm="1">
        <f t="array" ref="K47">VLOOKUP($B47,NAS1352First[],COLUMN(NAS1352First[Head Side Height Min]),FALSE)</f>
        <v>0.14799999999999999</v>
      </c>
      <c r="L47" s="8" cm="1">
        <f t="array" ref="L47">VLOOKUP($B47,NAS1352First[],COLUMN(NAS1352First[Nominal Socket Size]),FALSE)</f>
        <v>0.14099999999999999</v>
      </c>
      <c r="M47" s="8" cm="1">
        <f t="array" ref="M47">VLOOKUP($B47,NAS1352First[],COLUMN(NAS1352First[Key Engagement Min]),FALSE)</f>
        <v>7.6999999999999999E-2</v>
      </c>
      <c r="N47" s="8" cm="1">
        <f t="array" ref="N47">VLOOKUP($B47,NAS1352First[],COLUMN(NAS1352First[Wall Thickness Min]),FALSE)</f>
        <v>5.6000000000000001E-2</v>
      </c>
      <c r="O47" s="8" cm="1">
        <f t="array" ref="O47">VLOOKUP($B47,NAS1352First[],COLUMN(NAS1352First[Chamfer or Radius Max]),FALSE)</f>
        <v>5.0000000000000001E-3</v>
      </c>
      <c r="P47" s="8" cm="1">
        <f t="array" ref="P47">VLOOKUP($B47,NAS1352First[],COLUMN(NAS1352First[Minimum Basic Thread Length]),FALSE)</f>
        <v>0.875</v>
      </c>
      <c r="Q47" s="8" cm="1">
        <f t="array" ref="Q47">VLOOKUP($B47,NAS1352First[],COLUMN(NAS1352First[Drilled Hole Location Max]),FALSE)</f>
        <v>0.06</v>
      </c>
      <c r="R47" s="8" cm="1">
        <f t="array" ref="R47">VLOOKUP($B47,NAS1352First[],COLUMN(NAS1352First[Drilled Hole Location Min]),FALSE)</f>
        <v>0.04</v>
      </c>
      <c r="S47" s="8" cm="1">
        <f t="array" ref="S47">VLOOKUP($B47,NAS1352First[],COLUMN(NAS1352First[Drilled Hole Diameter Max]),FALSE)</f>
        <v>0.05</v>
      </c>
      <c r="T47" s="8" cm="1">
        <f t="array" ref="T47">VLOOKUP($B47,NAS1352First[],COLUMN(NAS1352First[Drilled Hole Diameter Min]),FALSE)</f>
        <v>4.3999999999999997E-2</v>
      </c>
      <c r="U47" s="8" cm="1">
        <f t="array" ref="U47">VLOOKUP($B47,NAS1352First[],COLUMN(NAS1352First[Alloy Steel Minimum Breaking Strength (lb)]),FALSE)</f>
        <v>2520</v>
      </c>
      <c r="V47" s="8" cm="1">
        <f t="array" ref="V47">VLOOKUP($B47,NAS1352First[],COLUMN(NAS1352First[Corrosion Resistant Steel Minimum Breaking Strength (lb)]),FALSE)</f>
        <v>1120</v>
      </c>
      <c r="W47" s="17" cm="1">
        <f t="array" ref="W47">VLOOKUP($B47,NAS1352First[],COLUMN(NAS1352First[Heat Resistant Steel Minimum Breaking Strength (lb)]),FALSE)</f>
        <v>2240</v>
      </c>
    </row>
    <row r="48" spans="1:23" x14ac:dyDescent="0.25">
      <c r="A48" s="15" t="s">
        <v>565</v>
      </c>
      <c r="B48" s="8" t="str">
        <f t="shared" si="1"/>
        <v>08</v>
      </c>
      <c r="C48" s="8">
        <f t="shared" si="0"/>
        <v>0.375</v>
      </c>
      <c r="D48" s="8" t="str" cm="1">
        <f t="array" ref="D48">VLOOKUP($B48,NAS1352First[],COLUMN(NAS1352First[Thread Size]),FALSE)</f>
        <v>8-32 or 0.164-32 UNC CLASS 3</v>
      </c>
      <c r="E48" s="8" cm="1">
        <f t="array" ref="E48">VLOOKUP($B48,NAS1352First[],COLUMN(NAS1352First[Body Diameter Max]),FALSE)</f>
        <v>0.16400000000000001</v>
      </c>
      <c r="F48" s="8" cm="1">
        <f t="array" ref="F48">VLOOKUP($B48,NAS1352First[],COLUMN(NAS1352First[Body Diameter Max2]),FALSE)</f>
        <v>0.1585</v>
      </c>
      <c r="G48" s="8" cm="1">
        <f t="array" ref="G48">VLOOKUP($B48,NAS1352First[],COLUMN(NAS1352First[Head Diameter Max]),FALSE)</f>
        <v>0.27</v>
      </c>
      <c r="H48" s="8" cm="1">
        <f t="array" ref="H48">VLOOKUP($B48,NAS1352First[],COLUMN(NAS1352First[Head Diameter Min]),FALSE)</f>
        <v>0.26200000000000001</v>
      </c>
      <c r="I48" s="8" cm="1">
        <f t="array" ref="I48">VLOOKUP($B48,NAS1352First[],COLUMN(NAS1352First[Head Height Max]),FALSE)</f>
        <v>0.16400000000000001</v>
      </c>
      <c r="J48" s="8" cm="1">
        <f t="array" ref="J48">VLOOKUP($B48,NAS1352First[],COLUMN(NAS1352First[Head Height Min]),FALSE)</f>
        <v>0.159</v>
      </c>
      <c r="K48" s="8" cm="1">
        <f t="array" ref="K48">VLOOKUP($B48,NAS1352First[],COLUMN(NAS1352First[Head Side Height Min]),FALSE)</f>
        <v>0.14799999999999999</v>
      </c>
      <c r="L48" s="8" cm="1">
        <f t="array" ref="L48">VLOOKUP($B48,NAS1352First[],COLUMN(NAS1352First[Nominal Socket Size]),FALSE)</f>
        <v>0.14099999999999999</v>
      </c>
      <c r="M48" s="8" cm="1">
        <f t="array" ref="M48">VLOOKUP($B48,NAS1352First[],COLUMN(NAS1352First[Key Engagement Min]),FALSE)</f>
        <v>7.6999999999999999E-2</v>
      </c>
      <c r="N48" s="8" cm="1">
        <f t="array" ref="N48">VLOOKUP($B48,NAS1352First[],COLUMN(NAS1352First[Wall Thickness Min]),FALSE)</f>
        <v>5.6000000000000001E-2</v>
      </c>
      <c r="O48" s="8" cm="1">
        <f t="array" ref="O48">VLOOKUP($B48,NAS1352First[],COLUMN(NAS1352First[Chamfer or Radius Max]),FALSE)</f>
        <v>5.0000000000000001E-3</v>
      </c>
      <c r="P48" s="8" cm="1">
        <f t="array" ref="P48">VLOOKUP($B48,NAS1352First[],COLUMN(NAS1352First[Minimum Basic Thread Length]),FALSE)</f>
        <v>0.875</v>
      </c>
      <c r="Q48" s="8" cm="1">
        <f t="array" ref="Q48">VLOOKUP($B48,NAS1352First[],COLUMN(NAS1352First[Drilled Hole Location Max]),FALSE)</f>
        <v>0.06</v>
      </c>
      <c r="R48" s="8" cm="1">
        <f t="array" ref="R48">VLOOKUP($B48,NAS1352First[],COLUMN(NAS1352First[Drilled Hole Location Min]),FALSE)</f>
        <v>0.04</v>
      </c>
      <c r="S48" s="8" cm="1">
        <f t="array" ref="S48">VLOOKUP($B48,NAS1352First[],COLUMN(NAS1352First[Drilled Hole Diameter Max]),FALSE)</f>
        <v>0.05</v>
      </c>
      <c r="T48" s="8" cm="1">
        <f t="array" ref="T48">VLOOKUP($B48,NAS1352First[],COLUMN(NAS1352First[Drilled Hole Diameter Min]),FALSE)</f>
        <v>4.3999999999999997E-2</v>
      </c>
      <c r="U48" s="8" cm="1">
        <f t="array" ref="U48">VLOOKUP($B48,NAS1352First[],COLUMN(NAS1352First[Alloy Steel Minimum Breaking Strength (lb)]),FALSE)</f>
        <v>2520</v>
      </c>
      <c r="V48" s="8" cm="1">
        <f t="array" ref="V48">VLOOKUP($B48,NAS1352First[],COLUMN(NAS1352First[Corrosion Resistant Steel Minimum Breaking Strength (lb)]),FALSE)</f>
        <v>1120</v>
      </c>
      <c r="W48" s="17" cm="1">
        <f t="array" ref="W48">VLOOKUP($B48,NAS1352First[],COLUMN(NAS1352First[Heat Resistant Steel Minimum Breaking Strength (lb)]),FALSE)</f>
        <v>2240</v>
      </c>
    </row>
    <row r="49" spans="1:23" x14ac:dyDescent="0.25">
      <c r="A49" s="15" t="s">
        <v>566</v>
      </c>
      <c r="B49" s="8" t="str">
        <f t="shared" si="1"/>
        <v>08</v>
      </c>
      <c r="C49" s="8">
        <f t="shared" si="0"/>
        <v>0.5</v>
      </c>
      <c r="D49" s="8" t="str" cm="1">
        <f t="array" ref="D49">VLOOKUP($B49,NAS1352First[],COLUMN(NAS1352First[Thread Size]),FALSE)</f>
        <v>8-32 or 0.164-32 UNC CLASS 3</v>
      </c>
      <c r="E49" s="8" cm="1">
        <f t="array" ref="E49">VLOOKUP($B49,NAS1352First[],COLUMN(NAS1352First[Body Diameter Max]),FALSE)</f>
        <v>0.16400000000000001</v>
      </c>
      <c r="F49" s="8" cm="1">
        <f t="array" ref="F49">VLOOKUP($B49,NAS1352First[],COLUMN(NAS1352First[Body Diameter Max2]),FALSE)</f>
        <v>0.1585</v>
      </c>
      <c r="G49" s="8" cm="1">
        <f t="array" ref="G49">VLOOKUP($B49,NAS1352First[],COLUMN(NAS1352First[Head Diameter Max]),FALSE)</f>
        <v>0.27</v>
      </c>
      <c r="H49" s="8" cm="1">
        <f t="array" ref="H49">VLOOKUP($B49,NAS1352First[],COLUMN(NAS1352First[Head Diameter Min]),FALSE)</f>
        <v>0.26200000000000001</v>
      </c>
      <c r="I49" s="8" cm="1">
        <f t="array" ref="I49">VLOOKUP($B49,NAS1352First[],COLUMN(NAS1352First[Head Height Max]),FALSE)</f>
        <v>0.16400000000000001</v>
      </c>
      <c r="J49" s="8" cm="1">
        <f t="array" ref="J49">VLOOKUP($B49,NAS1352First[],COLUMN(NAS1352First[Head Height Min]),FALSE)</f>
        <v>0.159</v>
      </c>
      <c r="K49" s="8" cm="1">
        <f t="array" ref="K49">VLOOKUP($B49,NAS1352First[],COLUMN(NAS1352First[Head Side Height Min]),FALSE)</f>
        <v>0.14799999999999999</v>
      </c>
      <c r="L49" s="8" cm="1">
        <f t="array" ref="L49">VLOOKUP($B49,NAS1352First[],COLUMN(NAS1352First[Nominal Socket Size]),FALSE)</f>
        <v>0.14099999999999999</v>
      </c>
      <c r="M49" s="8" cm="1">
        <f t="array" ref="M49">VLOOKUP($B49,NAS1352First[],COLUMN(NAS1352First[Key Engagement Min]),FALSE)</f>
        <v>7.6999999999999999E-2</v>
      </c>
      <c r="N49" s="8" cm="1">
        <f t="array" ref="N49">VLOOKUP($B49,NAS1352First[],COLUMN(NAS1352First[Wall Thickness Min]),FALSE)</f>
        <v>5.6000000000000001E-2</v>
      </c>
      <c r="O49" s="8" cm="1">
        <f t="array" ref="O49">VLOOKUP($B49,NAS1352First[],COLUMN(NAS1352First[Chamfer or Radius Max]),FALSE)</f>
        <v>5.0000000000000001E-3</v>
      </c>
      <c r="P49" s="8" cm="1">
        <f t="array" ref="P49">VLOOKUP($B49,NAS1352First[],COLUMN(NAS1352First[Minimum Basic Thread Length]),FALSE)</f>
        <v>0.875</v>
      </c>
      <c r="Q49" s="8" cm="1">
        <f t="array" ref="Q49">VLOOKUP($B49,NAS1352First[],COLUMN(NAS1352First[Drilled Hole Location Max]),FALSE)</f>
        <v>0.06</v>
      </c>
      <c r="R49" s="8" cm="1">
        <f t="array" ref="R49">VLOOKUP($B49,NAS1352First[],COLUMN(NAS1352First[Drilled Hole Location Min]),FALSE)</f>
        <v>0.04</v>
      </c>
      <c r="S49" s="8" cm="1">
        <f t="array" ref="S49">VLOOKUP($B49,NAS1352First[],COLUMN(NAS1352First[Drilled Hole Diameter Max]),FALSE)</f>
        <v>0.05</v>
      </c>
      <c r="T49" s="8" cm="1">
        <f t="array" ref="T49">VLOOKUP($B49,NAS1352First[],COLUMN(NAS1352First[Drilled Hole Diameter Min]),FALSE)</f>
        <v>4.3999999999999997E-2</v>
      </c>
      <c r="U49" s="8" cm="1">
        <f t="array" ref="U49">VLOOKUP($B49,NAS1352First[],COLUMN(NAS1352First[Alloy Steel Minimum Breaking Strength (lb)]),FALSE)</f>
        <v>2520</v>
      </c>
      <c r="V49" s="8" cm="1">
        <f t="array" ref="V49">VLOOKUP($B49,NAS1352First[],COLUMN(NAS1352First[Corrosion Resistant Steel Minimum Breaking Strength (lb)]),FALSE)</f>
        <v>1120</v>
      </c>
      <c r="W49" s="17" cm="1">
        <f t="array" ref="W49">VLOOKUP($B49,NAS1352First[],COLUMN(NAS1352First[Heat Resistant Steel Minimum Breaking Strength (lb)]),FALSE)</f>
        <v>2240</v>
      </c>
    </row>
    <row r="50" spans="1:23" x14ac:dyDescent="0.25">
      <c r="A50" s="15" t="s">
        <v>567</v>
      </c>
      <c r="B50" s="8" t="str">
        <f t="shared" si="1"/>
        <v>08</v>
      </c>
      <c r="C50" s="8">
        <f t="shared" si="0"/>
        <v>0.625</v>
      </c>
      <c r="D50" s="8" t="str" cm="1">
        <f t="array" ref="D50">VLOOKUP($B50,NAS1352First[],COLUMN(NAS1352First[Thread Size]),FALSE)</f>
        <v>8-32 or 0.164-32 UNC CLASS 3</v>
      </c>
      <c r="E50" s="8" cm="1">
        <f t="array" ref="E50">VLOOKUP($B50,NAS1352First[],COLUMN(NAS1352First[Body Diameter Max]),FALSE)</f>
        <v>0.16400000000000001</v>
      </c>
      <c r="F50" s="8" cm="1">
        <f t="array" ref="F50">VLOOKUP($B50,NAS1352First[],COLUMN(NAS1352First[Body Diameter Max2]),FALSE)</f>
        <v>0.1585</v>
      </c>
      <c r="G50" s="8" cm="1">
        <f t="array" ref="G50">VLOOKUP($B50,NAS1352First[],COLUMN(NAS1352First[Head Diameter Max]),FALSE)</f>
        <v>0.27</v>
      </c>
      <c r="H50" s="8" cm="1">
        <f t="array" ref="H50">VLOOKUP($B50,NAS1352First[],COLUMN(NAS1352First[Head Diameter Min]),FALSE)</f>
        <v>0.26200000000000001</v>
      </c>
      <c r="I50" s="8" cm="1">
        <f t="array" ref="I50">VLOOKUP($B50,NAS1352First[],COLUMN(NAS1352First[Head Height Max]),FALSE)</f>
        <v>0.16400000000000001</v>
      </c>
      <c r="J50" s="8" cm="1">
        <f t="array" ref="J50">VLOOKUP($B50,NAS1352First[],COLUMN(NAS1352First[Head Height Min]),FALSE)</f>
        <v>0.159</v>
      </c>
      <c r="K50" s="8" cm="1">
        <f t="array" ref="K50">VLOOKUP($B50,NAS1352First[],COLUMN(NAS1352First[Head Side Height Min]),FALSE)</f>
        <v>0.14799999999999999</v>
      </c>
      <c r="L50" s="8" cm="1">
        <f t="array" ref="L50">VLOOKUP($B50,NAS1352First[],COLUMN(NAS1352First[Nominal Socket Size]),FALSE)</f>
        <v>0.14099999999999999</v>
      </c>
      <c r="M50" s="8" cm="1">
        <f t="array" ref="M50">VLOOKUP($B50,NAS1352First[],COLUMN(NAS1352First[Key Engagement Min]),FALSE)</f>
        <v>7.6999999999999999E-2</v>
      </c>
      <c r="N50" s="8" cm="1">
        <f t="array" ref="N50">VLOOKUP($B50,NAS1352First[],COLUMN(NAS1352First[Wall Thickness Min]),FALSE)</f>
        <v>5.6000000000000001E-2</v>
      </c>
      <c r="O50" s="8" cm="1">
        <f t="array" ref="O50">VLOOKUP($B50,NAS1352First[],COLUMN(NAS1352First[Chamfer or Radius Max]),FALSE)</f>
        <v>5.0000000000000001E-3</v>
      </c>
      <c r="P50" s="8" cm="1">
        <f t="array" ref="P50">VLOOKUP($B50,NAS1352First[],COLUMN(NAS1352First[Minimum Basic Thread Length]),FALSE)</f>
        <v>0.875</v>
      </c>
      <c r="Q50" s="8" cm="1">
        <f t="array" ref="Q50">VLOOKUP($B50,NAS1352First[],COLUMN(NAS1352First[Drilled Hole Location Max]),FALSE)</f>
        <v>0.06</v>
      </c>
      <c r="R50" s="8" cm="1">
        <f t="array" ref="R50">VLOOKUP($B50,NAS1352First[],COLUMN(NAS1352First[Drilled Hole Location Min]),FALSE)</f>
        <v>0.04</v>
      </c>
      <c r="S50" s="8" cm="1">
        <f t="array" ref="S50">VLOOKUP($B50,NAS1352First[],COLUMN(NAS1352First[Drilled Hole Diameter Max]),FALSE)</f>
        <v>0.05</v>
      </c>
      <c r="T50" s="8" cm="1">
        <f t="array" ref="T50">VLOOKUP($B50,NAS1352First[],COLUMN(NAS1352First[Drilled Hole Diameter Min]),FALSE)</f>
        <v>4.3999999999999997E-2</v>
      </c>
      <c r="U50" s="8" cm="1">
        <f t="array" ref="U50">VLOOKUP($B50,NAS1352First[],COLUMN(NAS1352First[Alloy Steel Minimum Breaking Strength (lb)]),FALSE)</f>
        <v>2520</v>
      </c>
      <c r="V50" s="8" cm="1">
        <f t="array" ref="V50">VLOOKUP($B50,NAS1352First[],COLUMN(NAS1352First[Corrosion Resistant Steel Minimum Breaking Strength (lb)]),FALSE)</f>
        <v>1120</v>
      </c>
      <c r="W50" s="17" cm="1">
        <f t="array" ref="W50">VLOOKUP($B50,NAS1352First[],COLUMN(NAS1352First[Heat Resistant Steel Minimum Breaking Strength (lb)]),FALSE)</f>
        <v>2240</v>
      </c>
    </row>
    <row r="51" spans="1:23" x14ac:dyDescent="0.25">
      <c r="A51" s="15" t="s">
        <v>568</v>
      </c>
      <c r="B51" s="8" t="str">
        <f t="shared" si="1"/>
        <v>08</v>
      </c>
      <c r="C51" s="8">
        <f t="shared" si="0"/>
        <v>0.75</v>
      </c>
      <c r="D51" s="8" t="str" cm="1">
        <f t="array" ref="D51">VLOOKUP($B51,NAS1352First[],COLUMN(NAS1352First[Thread Size]),FALSE)</f>
        <v>8-32 or 0.164-32 UNC CLASS 3</v>
      </c>
      <c r="E51" s="8" cm="1">
        <f t="array" ref="E51">VLOOKUP($B51,NAS1352First[],COLUMN(NAS1352First[Body Diameter Max]),FALSE)</f>
        <v>0.16400000000000001</v>
      </c>
      <c r="F51" s="8" cm="1">
        <f t="array" ref="F51">VLOOKUP($B51,NAS1352First[],COLUMN(NAS1352First[Body Diameter Max2]),FALSE)</f>
        <v>0.1585</v>
      </c>
      <c r="G51" s="8" cm="1">
        <f t="array" ref="G51">VLOOKUP($B51,NAS1352First[],COLUMN(NAS1352First[Head Diameter Max]),FALSE)</f>
        <v>0.27</v>
      </c>
      <c r="H51" s="8" cm="1">
        <f t="array" ref="H51">VLOOKUP($B51,NAS1352First[],COLUMN(NAS1352First[Head Diameter Min]),FALSE)</f>
        <v>0.26200000000000001</v>
      </c>
      <c r="I51" s="8" cm="1">
        <f t="array" ref="I51">VLOOKUP($B51,NAS1352First[],COLUMN(NAS1352First[Head Height Max]),FALSE)</f>
        <v>0.16400000000000001</v>
      </c>
      <c r="J51" s="8" cm="1">
        <f t="array" ref="J51">VLOOKUP($B51,NAS1352First[],COLUMN(NAS1352First[Head Height Min]),FALSE)</f>
        <v>0.159</v>
      </c>
      <c r="K51" s="8" cm="1">
        <f t="array" ref="K51">VLOOKUP($B51,NAS1352First[],COLUMN(NAS1352First[Head Side Height Min]),FALSE)</f>
        <v>0.14799999999999999</v>
      </c>
      <c r="L51" s="8" cm="1">
        <f t="array" ref="L51">VLOOKUP($B51,NAS1352First[],COLUMN(NAS1352First[Nominal Socket Size]),FALSE)</f>
        <v>0.14099999999999999</v>
      </c>
      <c r="M51" s="8" cm="1">
        <f t="array" ref="M51">VLOOKUP($B51,NAS1352First[],COLUMN(NAS1352First[Key Engagement Min]),FALSE)</f>
        <v>7.6999999999999999E-2</v>
      </c>
      <c r="N51" s="8" cm="1">
        <f t="array" ref="N51">VLOOKUP($B51,NAS1352First[],COLUMN(NAS1352First[Wall Thickness Min]),FALSE)</f>
        <v>5.6000000000000001E-2</v>
      </c>
      <c r="O51" s="8" cm="1">
        <f t="array" ref="O51">VLOOKUP($B51,NAS1352First[],COLUMN(NAS1352First[Chamfer or Radius Max]),FALSE)</f>
        <v>5.0000000000000001E-3</v>
      </c>
      <c r="P51" s="8" cm="1">
        <f t="array" ref="P51">VLOOKUP($B51,NAS1352First[],COLUMN(NAS1352First[Minimum Basic Thread Length]),FALSE)</f>
        <v>0.875</v>
      </c>
      <c r="Q51" s="8" cm="1">
        <f t="array" ref="Q51">VLOOKUP($B51,NAS1352First[],COLUMN(NAS1352First[Drilled Hole Location Max]),FALSE)</f>
        <v>0.06</v>
      </c>
      <c r="R51" s="8" cm="1">
        <f t="array" ref="R51">VLOOKUP($B51,NAS1352First[],COLUMN(NAS1352First[Drilled Hole Location Min]),FALSE)</f>
        <v>0.04</v>
      </c>
      <c r="S51" s="8" cm="1">
        <f t="array" ref="S51">VLOOKUP($B51,NAS1352First[],COLUMN(NAS1352First[Drilled Hole Diameter Max]),FALSE)</f>
        <v>0.05</v>
      </c>
      <c r="T51" s="8" cm="1">
        <f t="array" ref="T51">VLOOKUP($B51,NAS1352First[],COLUMN(NAS1352First[Drilled Hole Diameter Min]),FALSE)</f>
        <v>4.3999999999999997E-2</v>
      </c>
      <c r="U51" s="8" cm="1">
        <f t="array" ref="U51">VLOOKUP($B51,NAS1352First[],COLUMN(NAS1352First[Alloy Steel Minimum Breaking Strength (lb)]),FALSE)</f>
        <v>2520</v>
      </c>
      <c r="V51" s="8" cm="1">
        <f t="array" ref="V51">VLOOKUP($B51,NAS1352First[],COLUMN(NAS1352First[Corrosion Resistant Steel Minimum Breaking Strength (lb)]),FALSE)</f>
        <v>1120</v>
      </c>
      <c r="W51" s="17" cm="1">
        <f t="array" ref="W51">VLOOKUP($B51,NAS1352First[],COLUMN(NAS1352First[Heat Resistant Steel Minimum Breaking Strength (lb)]),FALSE)</f>
        <v>2240</v>
      </c>
    </row>
    <row r="52" spans="1:23" x14ac:dyDescent="0.25">
      <c r="A52" s="15" t="s">
        <v>569</v>
      </c>
      <c r="B52" s="8" t="str">
        <f t="shared" si="1"/>
        <v>08</v>
      </c>
      <c r="C52" s="8">
        <f t="shared" si="0"/>
        <v>0.875</v>
      </c>
      <c r="D52" s="8" t="str" cm="1">
        <f t="array" ref="D52">VLOOKUP($B52,NAS1352First[],COLUMN(NAS1352First[Thread Size]),FALSE)</f>
        <v>8-32 or 0.164-32 UNC CLASS 3</v>
      </c>
      <c r="E52" s="8" cm="1">
        <f t="array" ref="E52">VLOOKUP($B52,NAS1352First[],COLUMN(NAS1352First[Body Diameter Max]),FALSE)</f>
        <v>0.16400000000000001</v>
      </c>
      <c r="F52" s="8" cm="1">
        <f t="array" ref="F52">VLOOKUP($B52,NAS1352First[],COLUMN(NAS1352First[Body Diameter Max2]),FALSE)</f>
        <v>0.1585</v>
      </c>
      <c r="G52" s="8" cm="1">
        <f t="array" ref="G52">VLOOKUP($B52,NAS1352First[],COLUMN(NAS1352First[Head Diameter Max]),FALSE)</f>
        <v>0.27</v>
      </c>
      <c r="H52" s="8" cm="1">
        <f t="array" ref="H52">VLOOKUP($B52,NAS1352First[],COLUMN(NAS1352First[Head Diameter Min]),FALSE)</f>
        <v>0.26200000000000001</v>
      </c>
      <c r="I52" s="8" cm="1">
        <f t="array" ref="I52">VLOOKUP($B52,NAS1352First[],COLUMN(NAS1352First[Head Height Max]),FALSE)</f>
        <v>0.16400000000000001</v>
      </c>
      <c r="J52" s="8" cm="1">
        <f t="array" ref="J52">VLOOKUP($B52,NAS1352First[],COLUMN(NAS1352First[Head Height Min]),FALSE)</f>
        <v>0.159</v>
      </c>
      <c r="K52" s="8" cm="1">
        <f t="array" ref="K52">VLOOKUP($B52,NAS1352First[],COLUMN(NAS1352First[Head Side Height Min]),FALSE)</f>
        <v>0.14799999999999999</v>
      </c>
      <c r="L52" s="8" cm="1">
        <f t="array" ref="L52">VLOOKUP($B52,NAS1352First[],COLUMN(NAS1352First[Nominal Socket Size]),FALSE)</f>
        <v>0.14099999999999999</v>
      </c>
      <c r="M52" s="8" cm="1">
        <f t="array" ref="M52">VLOOKUP($B52,NAS1352First[],COLUMN(NAS1352First[Key Engagement Min]),FALSE)</f>
        <v>7.6999999999999999E-2</v>
      </c>
      <c r="N52" s="8" cm="1">
        <f t="array" ref="N52">VLOOKUP($B52,NAS1352First[],COLUMN(NAS1352First[Wall Thickness Min]),FALSE)</f>
        <v>5.6000000000000001E-2</v>
      </c>
      <c r="O52" s="8" cm="1">
        <f t="array" ref="O52">VLOOKUP($B52,NAS1352First[],COLUMN(NAS1352First[Chamfer or Radius Max]),FALSE)</f>
        <v>5.0000000000000001E-3</v>
      </c>
      <c r="P52" s="8" cm="1">
        <f t="array" ref="P52">VLOOKUP($B52,NAS1352First[],COLUMN(NAS1352First[Minimum Basic Thread Length]),FALSE)</f>
        <v>0.875</v>
      </c>
      <c r="Q52" s="8" cm="1">
        <f t="array" ref="Q52">VLOOKUP($B52,NAS1352First[],COLUMN(NAS1352First[Drilled Hole Location Max]),FALSE)</f>
        <v>0.06</v>
      </c>
      <c r="R52" s="8" cm="1">
        <f t="array" ref="R52">VLOOKUP($B52,NAS1352First[],COLUMN(NAS1352First[Drilled Hole Location Min]),FALSE)</f>
        <v>0.04</v>
      </c>
      <c r="S52" s="8" cm="1">
        <f t="array" ref="S52">VLOOKUP($B52,NAS1352First[],COLUMN(NAS1352First[Drilled Hole Diameter Max]),FALSE)</f>
        <v>0.05</v>
      </c>
      <c r="T52" s="8" cm="1">
        <f t="array" ref="T52">VLOOKUP($B52,NAS1352First[],COLUMN(NAS1352First[Drilled Hole Diameter Min]),FALSE)</f>
        <v>4.3999999999999997E-2</v>
      </c>
      <c r="U52" s="8" cm="1">
        <f t="array" ref="U52">VLOOKUP($B52,NAS1352First[],COLUMN(NAS1352First[Alloy Steel Minimum Breaking Strength (lb)]),FALSE)</f>
        <v>2520</v>
      </c>
      <c r="V52" s="8" cm="1">
        <f t="array" ref="V52">VLOOKUP($B52,NAS1352First[],COLUMN(NAS1352First[Corrosion Resistant Steel Minimum Breaking Strength (lb)]),FALSE)</f>
        <v>1120</v>
      </c>
      <c r="W52" s="17" cm="1">
        <f t="array" ref="W52">VLOOKUP($B52,NAS1352First[],COLUMN(NAS1352First[Heat Resistant Steel Minimum Breaking Strength (lb)]),FALSE)</f>
        <v>2240</v>
      </c>
    </row>
    <row r="53" spans="1:23" x14ac:dyDescent="0.25">
      <c r="A53" s="15" t="s">
        <v>570</v>
      </c>
      <c r="B53" s="8" t="str">
        <f t="shared" si="1"/>
        <v>08</v>
      </c>
      <c r="C53" s="8">
        <f t="shared" si="0"/>
        <v>1</v>
      </c>
      <c r="D53" s="8" t="str" cm="1">
        <f t="array" ref="D53">VLOOKUP($B53,NAS1352First[],COLUMN(NAS1352First[Thread Size]),FALSE)</f>
        <v>8-32 or 0.164-32 UNC CLASS 3</v>
      </c>
      <c r="E53" s="8" cm="1">
        <f t="array" ref="E53">VLOOKUP($B53,NAS1352First[],COLUMN(NAS1352First[Body Diameter Max]),FALSE)</f>
        <v>0.16400000000000001</v>
      </c>
      <c r="F53" s="8" cm="1">
        <f t="array" ref="F53">VLOOKUP($B53,NAS1352First[],COLUMN(NAS1352First[Body Diameter Max2]),FALSE)</f>
        <v>0.1585</v>
      </c>
      <c r="G53" s="8" cm="1">
        <f t="array" ref="G53">VLOOKUP($B53,NAS1352First[],COLUMN(NAS1352First[Head Diameter Max]),FALSE)</f>
        <v>0.27</v>
      </c>
      <c r="H53" s="8" cm="1">
        <f t="array" ref="H53">VLOOKUP($B53,NAS1352First[],COLUMN(NAS1352First[Head Diameter Min]),FALSE)</f>
        <v>0.26200000000000001</v>
      </c>
      <c r="I53" s="8" cm="1">
        <f t="array" ref="I53">VLOOKUP($B53,NAS1352First[],COLUMN(NAS1352First[Head Height Max]),FALSE)</f>
        <v>0.16400000000000001</v>
      </c>
      <c r="J53" s="8" cm="1">
        <f t="array" ref="J53">VLOOKUP($B53,NAS1352First[],COLUMN(NAS1352First[Head Height Min]),FALSE)</f>
        <v>0.159</v>
      </c>
      <c r="K53" s="8" cm="1">
        <f t="array" ref="K53">VLOOKUP($B53,NAS1352First[],COLUMN(NAS1352First[Head Side Height Min]),FALSE)</f>
        <v>0.14799999999999999</v>
      </c>
      <c r="L53" s="8" cm="1">
        <f t="array" ref="L53">VLOOKUP($B53,NAS1352First[],COLUMN(NAS1352First[Nominal Socket Size]),FALSE)</f>
        <v>0.14099999999999999</v>
      </c>
      <c r="M53" s="8" cm="1">
        <f t="array" ref="M53">VLOOKUP($B53,NAS1352First[],COLUMN(NAS1352First[Key Engagement Min]),FALSE)</f>
        <v>7.6999999999999999E-2</v>
      </c>
      <c r="N53" s="8" cm="1">
        <f t="array" ref="N53">VLOOKUP($B53,NAS1352First[],COLUMN(NAS1352First[Wall Thickness Min]),FALSE)</f>
        <v>5.6000000000000001E-2</v>
      </c>
      <c r="O53" s="8" cm="1">
        <f t="array" ref="O53">VLOOKUP($B53,NAS1352First[],COLUMN(NAS1352First[Chamfer or Radius Max]),FALSE)</f>
        <v>5.0000000000000001E-3</v>
      </c>
      <c r="P53" s="8" cm="1">
        <f t="array" ref="P53">VLOOKUP($B53,NAS1352First[],COLUMN(NAS1352First[Minimum Basic Thread Length]),FALSE)</f>
        <v>0.875</v>
      </c>
      <c r="Q53" s="8" cm="1">
        <f t="array" ref="Q53">VLOOKUP($B53,NAS1352First[],COLUMN(NAS1352First[Drilled Hole Location Max]),FALSE)</f>
        <v>0.06</v>
      </c>
      <c r="R53" s="8" cm="1">
        <f t="array" ref="R53">VLOOKUP($B53,NAS1352First[],COLUMN(NAS1352First[Drilled Hole Location Min]),FALSE)</f>
        <v>0.04</v>
      </c>
      <c r="S53" s="8" cm="1">
        <f t="array" ref="S53">VLOOKUP($B53,NAS1352First[],COLUMN(NAS1352First[Drilled Hole Diameter Max]),FALSE)</f>
        <v>0.05</v>
      </c>
      <c r="T53" s="8" cm="1">
        <f t="array" ref="T53">VLOOKUP($B53,NAS1352First[],COLUMN(NAS1352First[Drilled Hole Diameter Min]),FALSE)</f>
        <v>4.3999999999999997E-2</v>
      </c>
      <c r="U53" s="8" cm="1">
        <f t="array" ref="U53">VLOOKUP($B53,NAS1352First[],COLUMN(NAS1352First[Alloy Steel Minimum Breaking Strength (lb)]),FALSE)</f>
        <v>2520</v>
      </c>
      <c r="V53" s="8" cm="1">
        <f t="array" ref="V53">VLOOKUP($B53,NAS1352First[],COLUMN(NAS1352First[Corrosion Resistant Steel Minimum Breaking Strength (lb)]),FALSE)</f>
        <v>1120</v>
      </c>
      <c r="W53" s="17" cm="1">
        <f t="array" ref="W53">VLOOKUP($B53,NAS1352First[],COLUMN(NAS1352First[Heat Resistant Steel Minimum Breaking Strength (lb)]),FALSE)</f>
        <v>2240</v>
      </c>
    </row>
    <row r="54" spans="1:23" x14ac:dyDescent="0.25">
      <c r="A54" s="15" t="s">
        <v>571</v>
      </c>
      <c r="B54" s="8" t="str">
        <f t="shared" si="1"/>
        <v>08</v>
      </c>
      <c r="C54" s="8">
        <f t="shared" si="0"/>
        <v>1.25</v>
      </c>
      <c r="D54" s="8" t="str" cm="1">
        <f t="array" ref="D54">VLOOKUP($B54,NAS1352First[],COLUMN(NAS1352First[Thread Size]),FALSE)</f>
        <v>8-32 or 0.164-32 UNC CLASS 3</v>
      </c>
      <c r="E54" s="8" cm="1">
        <f t="array" ref="E54">VLOOKUP($B54,NAS1352First[],COLUMN(NAS1352First[Body Diameter Max]),FALSE)</f>
        <v>0.16400000000000001</v>
      </c>
      <c r="F54" s="8" cm="1">
        <f t="array" ref="F54">VLOOKUP($B54,NAS1352First[],COLUMN(NAS1352First[Body Diameter Max2]),FALSE)</f>
        <v>0.1585</v>
      </c>
      <c r="G54" s="8" cm="1">
        <f t="array" ref="G54">VLOOKUP($B54,NAS1352First[],COLUMN(NAS1352First[Head Diameter Max]),FALSE)</f>
        <v>0.27</v>
      </c>
      <c r="H54" s="8" cm="1">
        <f t="array" ref="H54">VLOOKUP($B54,NAS1352First[],COLUMN(NAS1352First[Head Diameter Min]),FALSE)</f>
        <v>0.26200000000000001</v>
      </c>
      <c r="I54" s="8" cm="1">
        <f t="array" ref="I54">VLOOKUP($B54,NAS1352First[],COLUMN(NAS1352First[Head Height Max]),FALSE)</f>
        <v>0.16400000000000001</v>
      </c>
      <c r="J54" s="8" cm="1">
        <f t="array" ref="J54">VLOOKUP($B54,NAS1352First[],COLUMN(NAS1352First[Head Height Min]),FALSE)</f>
        <v>0.159</v>
      </c>
      <c r="K54" s="8" cm="1">
        <f t="array" ref="K54">VLOOKUP($B54,NAS1352First[],COLUMN(NAS1352First[Head Side Height Min]),FALSE)</f>
        <v>0.14799999999999999</v>
      </c>
      <c r="L54" s="8" cm="1">
        <f t="array" ref="L54">VLOOKUP($B54,NAS1352First[],COLUMN(NAS1352First[Nominal Socket Size]),FALSE)</f>
        <v>0.14099999999999999</v>
      </c>
      <c r="M54" s="8" cm="1">
        <f t="array" ref="M54">VLOOKUP($B54,NAS1352First[],COLUMN(NAS1352First[Key Engagement Min]),FALSE)</f>
        <v>7.6999999999999999E-2</v>
      </c>
      <c r="N54" s="8" cm="1">
        <f t="array" ref="N54">VLOOKUP($B54,NAS1352First[],COLUMN(NAS1352First[Wall Thickness Min]),FALSE)</f>
        <v>5.6000000000000001E-2</v>
      </c>
      <c r="O54" s="8" cm="1">
        <f t="array" ref="O54">VLOOKUP($B54,NAS1352First[],COLUMN(NAS1352First[Chamfer or Radius Max]),FALSE)</f>
        <v>5.0000000000000001E-3</v>
      </c>
      <c r="P54" s="8" cm="1">
        <f t="array" ref="P54">VLOOKUP($B54,NAS1352First[],COLUMN(NAS1352First[Minimum Basic Thread Length]),FALSE)</f>
        <v>0.875</v>
      </c>
      <c r="Q54" s="8" cm="1">
        <f t="array" ref="Q54">VLOOKUP($B54,NAS1352First[],COLUMN(NAS1352First[Drilled Hole Location Max]),FALSE)</f>
        <v>0.06</v>
      </c>
      <c r="R54" s="8" cm="1">
        <f t="array" ref="R54">VLOOKUP($B54,NAS1352First[],COLUMN(NAS1352First[Drilled Hole Location Min]),FALSE)</f>
        <v>0.04</v>
      </c>
      <c r="S54" s="8" cm="1">
        <f t="array" ref="S54">VLOOKUP($B54,NAS1352First[],COLUMN(NAS1352First[Drilled Hole Diameter Max]),FALSE)</f>
        <v>0.05</v>
      </c>
      <c r="T54" s="8" cm="1">
        <f t="array" ref="T54">VLOOKUP($B54,NAS1352First[],COLUMN(NAS1352First[Drilled Hole Diameter Min]),FALSE)</f>
        <v>4.3999999999999997E-2</v>
      </c>
      <c r="U54" s="8" cm="1">
        <f t="array" ref="U54">VLOOKUP($B54,NAS1352First[],COLUMN(NAS1352First[Alloy Steel Minimum Breaking Strength (lb)]),FALSE)</f>
        <v>2520</v>
      </c>
      <c r="V54" s="8" cm="1">
        <f t="array" ref="V54">VLOOKUP($B54,NAS1352First[],COLUMN(NAS1352First[Corrosion Resistant Steel Minimum Breaking Strength (lb)]),FALSE)</f>
        <v>1120</v>
      </c>
      <c r="W54" s="17" cm="1">
        <f t="array" ref="W54">VLOOKUP($B54,NAS1352First[],COLUMN(NAS1352First[Heat Resistant Steel Minimum Breaking Strength (lb)]),FALSE)</f>
        <v>2240</v>
      </c>
    </row>
    <row r="55" spans="1:23" x14ac:dyDescent="0.25">
      <c r="A55" s="15" t="s">
        <v>572</v>
      </c>
      <c r="B55" s="8" t="str">
        <f t="shared" si="1"/>
        <v>08</v>
      </c>
      <c r="C55" s="8">
        <f t="shared" ref="C55:C86" si="2">_xlfn.NUMBERVALUE(RIGHT(A55,LEN(A55)-SEARCH("~*",A55)))/16</f>
        <v>1.5</v>
      </c>
      <c r="D55" s="8" t="str" cm="1">
        <f t="array" ref="D55">VLOOKUP($B55,NAS1352First[],COLUMN(NAS1352First[Thread Size]),FALSE)</f>
        <v>8-32 or 0.164-32 UNC CLASS 3</v>
      </c>
      <c r="E55" s="8" cm="1">
        <f t="array" ref="E55">VLOOKUP($B55,NAS1352First[],COLUMN(NAS1352First[Body Diameter Max]),FALSE)</f>
        <v>0.16400000000000001</v>
      </c>
      <c r="F55" s="8" cm="1">
        <f t="array" ref="F55">VLOOKUP($B55,NAS1352First[],COLUMN(NAS1352First[Body Diameter Max2]),FALSE)</f>
        <v>0.1585</v>
      </c>
      <c r="G55" s="8" cm="1">
        <f t="array" ref="G55">VLOOKUP($B55,NAS1352First[],COLUMN(NAS1352First[Head Diameter Max]),FALSE)</f>
        <v>0.27</v>
      </c>
      <c r="H55" s="8" cm="1">
        <f t="array" ref="H55">VLOOKUP($B55,NAS1352First[],COLUMN(NAS1352First[Head Diameter Min]),FALSE)</f>
        <v>0.26200000000000001</v>
      </c>
      <c r="I55" s="8" cm="1">
        <f t="array" ref="I55">VLOOKUP($B55,NAS1352First[],COLUMN(NAS1352First[Head Height Max]),FALSE)</f>
        <v>0.16400000000000001</v>
      </c>
      <c r="J55" s="8" cm="1">
        <f t="array" ref="J55">VLOOKUP($B55,NAS1352First[],COLUMN(NAS1352First[Head Height Min]),FALSE)</f>
        <v>0.159</v>
      </c>
      <c r="K55" s="8" cm="1">
        <f t="array" ref="K55">VLOOKUP($B55,NAS1352First[],COLUMN(NAS1352First[Head Side Height Min]),FALSE)</f>
        <v>0.14799999999999999</v>
      </c>
      <c r="L55" s="8" cm="1">
        <f t="array" ref="L55">VLOOKUP($B55,NAS1352First[],COLUMN(NAS1352First[Nominal Socket Size]),FALSE)</f>
        <v>0.14099999999999999</v>
      </c>
      <c r="M55" s="8" cm="1">
        <f t="array" ref="M55">VLOOKUP($B55,NAS1352First[],COLUMN(NAS1352First[Key Engagement Min]),FALSE)</f>
        <v>7.6999999999999999E-2</v>
      </c>
      <c r="N55" s="8" cm="1">
        <f t="array" ref="N55">VLOOKUP($B55,NAS1352First[],COLUMN(NAS1352First[Wall Thickness Min]),FALSE)</f>
        <v>5.6000000000000001E-2</v>
      </c>
      <c r="O55" s="8" cm="1">
        <f t="array" ref="O55">VLOOKUP($B55,NAS1352First[],COLUMN(NAS1352First[Chamfer or Radius Max]),FALSE)</f>
        <v>5.0000000000000001E-3</v>
      </c>
      <c r="P55" s="8" cm="1">
        <f t="array" ref="P55">VLOOKUP($B55,NAS1352First[],COLUMN(NAS1352First[Minimum Basic Thread Length]),FALSE)</f>
        <v>0.875</v>
      </c>
      <c r="Q55" s="8" cm="1">
        <f t="array" ref="Q55">VLOOKUP($B55,NAS1352First[],COLUMN(NAS1352First[Drilled Hole Location Max]),FALSE)</f>
        <v>0.06</v>
      </c>
      <c r="R55" s="8" cm="1">
        <f t="array" ref="R55">VLOOKUP($B55,NAS1352First[],COLUMN(NAS1352First[Drilled Hole Location Min]),FALSE)</f>
        <v>0.04</v>
      </c>
      <c r="S55" s="8" cm="1">
        <f t="array" ref="S55">VLOOKUP($B55,NAS1352First[],COLUMN(NAS1352First[Drilled Hole Diameter Max]),FALSE)</f>
        <v>0.05</v>
      </c>
      <c r="T55" s="8" cm="1">
        <f t="array" ref="T55">VLOOKUP($B55,NAS1352First[],COLUMN(NAS1352First[Drilled Hole Diameter Min]),FALSE)</f>
        <v>4.3999999999999997E-2</v>
      </c>
      <c r="U55" s="8" cm="1">
        <f t="array" ref="U55">VLOOKUP($B55,NAS1352First[],COLUMN(NAS1352First[Alloy Steel Minimum Breaking Strength (lb)]),FALSE)</f>
        <v>2520</v>
      </c>
      <c r="V55" s="8" cm="1">
        <f t="array" ref="V55">VLOOKUP($B55,NAS1352First[],COLUMN(NAS1352First[Corrosion Resistant Steel Minimum Breaking Strength (lb)]),FALSE)</f>
        <v>1120</v>
      </c>
      <c r="W55" s="17" cm="1">
        <f t="array" ref="W55">VLOOKUP($B55,NAS1352First[],COLUMN(NAS1352First[Heat Resistant Steel Minimum Breaking Strength (lb)]),FALSE)</f>
        <v>2240</v>
      </c>
    </row>
    <row r="56" spans="1:23" x14ac:dyDescent="0.25">
      <c r="A56" s="15" t="s">
        <v>573</v>
      </c>
      <c r="B56" s="8" t="str">
        <f t="shared" si="1"/>
        <v>3</v>
      </c>
      <c r="C56" s="8">
        <f t="shared" si="2"/>
        <v>0.375</v>
      </c>
      <c r="D56" s="8" t="str" cm="1">
        <f t="array" ref="D56">VLOOKUP($B56,NAS1352First[],COLUMN(NAS1352First[Thread Size]),FALSE)</f>
        <v>10-24 or 0.190-24 UNC CLASS 3</v>
      </c>
      <c r="E56" s="8" cm="1">
        <f t="array" ref="E56">VLOOKUP($B56,NAS1352First[],COLUMN(NAS1352First[Body Diameter Max]),FALSE)</f>
        <v>0.19</v>
      </c>
      <c r="F56" s="8" cm="1">
        <f t="array" ref="F56">VLOOKUP($B56,NAS1352First[],COLUMN(NAS1352First[Body Diameter Max2]),FALSE)</f>
        <v>0.184</v>
      </c>
      <c r="G56" s="8" cm="1">
        <f t="array" ref="G56">VLOOKUP($B56,NAS1352First[],COLUMN(NAS1352First[Head Diameter Max]),FALSE)</f>
        <v>0.312</v>
      </c>
      <c r="H56" s="8" cm="1">
        <f t="array" ref="H56">VLOOKUP($B56,NAS1352First[],COLUMN(NAS1352First[Head Diameter Min]),FALSE)</f>
        <v>0.30299999999999999</v>
      </c>
      <c r="I56" s="8" cm="1">
        <f t="array" ref="I56">VLOOKUP($B56,NAS1352First[],COLUMN(NAS1352First[Head Height Max]),FALSE)</f>
        <v>0.19</v>
      </c>
      <c r="J56" s="8" cm="1">
        <f t="array" ref="J56">VLOOKUP($B56,NAS1352First[],COLUMN(NAS1352First[Head Height Min]),FALSE)</f>
        <v>0.185</v>
      </c>
      <c r="K56" s="8" cm="1">
        <f t="array" ref="K56">VLOOKUP($B56,NAS1352First[],COLUMN(NAS1352First[Head Side Height Min]),FALSE)</f>
        <v>0.17100000000000001</v>
      </c>
      <c r="L56" s="8" cm="1">
        <f t="array" ref="L56">VLOOKUP($B56,NAS1352First[],COLUMN(NAS1352First[Nominal Socket Size]),FALSE)</f>
        <v>0.156</v>
      </c>
      <c r="M56" s="8" cm="1">
        <f t="array" ref="M56">VLOOKUP($B56,NAS1352First[],COLUMN(NAS1352First[Key Engagement Min]),FALSE)</f>
        <v>0.09</v>
      </c>
      <c r="N56" s="8" cm="1">
        <f t="array" ref="N56">VLOOKUP($B56,NAS1352First[],COLUMN(NAS1352First[Wall Thickness Min]),FALSE)</f>
        <v>6.5000000000000002E-2</v>
      </c>
      <c r="O56" s="8" cm="1">
        <f t="array" ref="O56">VLOOKUP($B56,NAS1352First[],COLUMN(NAS1352First[Chamfer or Radius Max]),FALSE)</f>
        <v>5.0000000000000001E-3</v>
      </c>
      <c r="P56" s="8" cm="1">
        <f t="array" ref="P56">VLOOKUP($B56,NAS1352First[],COLUMN(NAS1352First[Minimum Basic Thread Length]),FALSE)</f>
        <v>0.875</v>
      </c>
      <c r="Q56" s="8" cm="1">
        <f t="array" ref="Q56">VLOOKUP($B56,NAS1352First[],COLUMN(NAS1352First[Drilled Hole Location Max]),FALSE)</f>
        <v>6.5000000000000002E-2</v>
      </c>
      <c r="R56" s="8" cm="1">
        <f t="array" ref="R56">VLOOKUP($B56,NAS1352First[],COLUMN(NAS1352First[Drilled Hole Location Min]),FALSE)</f>
        <v>4.4999999999999998E-2</v>
      </c>
      <c r="S56" s="8" cm="1">
        <f t="array" ref="S56">VLOOKUP($B56,NAS1352First[],COLUMN(NAS1352First[Drilled Hole Diameter Max]),FALSE)</f>
        <v>0.05</v>
      </c>
      <c r="T56" s="8" cm="1">
        <f t="array" ref="T56">VLOOKUP($B56,NAS1352First[],COLUMN(NAS1352First[Drilled Hole Diameter Min]),FALSE)</f>
        <v>4.3999999999999997E-2</v>
      </c>
      <c r="U56" s="8" cm="1">
        <f t="array" ref="U56">VLOOKUP($B56,NAS1352First[],COLUMN(NAS1352First[Alloy Steel Minimum Breaking Strength (lb)]),FALSE)</f>
        <v>3150</v>
      </c>
      <c r="V56" s="8" cm="1">
        <f t="array" ref="V56">VLOOKUP($B56,NAS1352First[],COLUMN(NAS1352First[Corrosion Resistant Steel Minimum Breaking Strength (lb)]),FALSE)</f>
        <v>1400</v>
      </c>
      <c r="W56" s="17" cm="1">
        <f t="array" ref="W56">VLOOKUP($B56,NAS1352First[],COLUMN(NAS1352First[Heat Resistant Steel Minimum Breaking Strength (lb)]),FALSE)</f>
        <v>2800</v>
      </c>
    </row>
    <row r="57" spans="1:23" x14ac:dyDescent="0.25">
      <c r="A57" s="15" t="s">
        <v>574</v>
      </c>
      <c r="B57" s="8" t="str">
        <f t="shared" si="1"/>
        <v>3</v>
      </c>
      <c r="C57" s="8">
        <f t="shared" si="2"/>
        <v>0.5</v>
      </c>
      <c r="D57" s="8" t="str" cm="1">
        <f t="array" ref="D57">VLOOKUP($B57,NAS1352First[],COLUMN(NAS1352First[Thread Size]),FALSE)</f>
        <v>10-24 or 0.190-24 UNC CLASS 3</v>
      </c>
      <c r="E57" s="8" cm="1">
        <f t="array" ref="E57">VLOOKUP($B57,NAS1352First[],COLUMN(NAS1352First[Body Diameter Max]),FALSE)</f>
        <v>0.19</v>
      </c>
      <c r="F57" s="8" cm="1">
        <f t="array" ref="F57">VLOOKUP($B57,NAS1352First[],COLUMN(NAS1352First[Body Diameter Max2]),FALSE)</f>
        <v>0.184</v>
      </c>
      <c r="G57" s="8" cm="1">
        <f t="array" ref="G57">VLOOKUP($B57,NAS1352First[],COLUMN(NAS1352First[Head Diameter Max]),FALSE)</f>
        <v>0.312</v>
      </c>
      <c r="H57" s="8" cm="1">
        <f t="array" ref="H57">VLOOKUP($B57,NAS1352First[],COLUMN(NAS1352First[Head Diameter Min]),FALSE)</f>
        <v>0.30299999999999999</v>
      </c>
      <c r="I57" s="8" cm="1">
        <f t="array" ref="I57">VLOOKUP($B57,NAS1352First[],COLUMN(NAS1352First[Head Height Max]),FALSE)</f>
        <v>0.19</v>
      </c>
      <c r="J57" s="8" cm="1">
        <f t="array" ref="J57">VLOOKUP($B57,NAS1352First[],COLUMN(NAS1352First[Head Height Min]),FALSE)</f>
        <v>0.185</v>
      </c>
      <c r="K57" s="8" cm="1">
        <f t="array" ref="K57">VLOOKUP($B57,NAS1352First[],COLUMN(NAS1352First[Head Side Height Min]),FALSE)</f>
        <v>0.17100000000000001</v>
      </c>
      <c r="L57" s="8" cm="1">
        <f t="array" ref="L57">VLOOKUP($B57,NAS1352First[],COLUMN(NAS1352First[Nominal Socket Size]),FALSE)</f>
        <v>0.156</v>
      </c>
      <c r="M57" s="8" cm="1">
        <f t="array" ref="M57">VLOOKUP($B57,NAS1352First[],COLUMN(NAS1352First[Key Engagement Min]),FALSE)</f>
        <v>0.09</v>
      </c>
      <c r="N57" s="8" cm="1">
        <f t="array" ref="N57">VLOOKUP($B57,NAS1352First[],COLUMN(NAS1352First[Wall Thickness Min]),FALSE)</f>
        <v>6.5000000000000002E-2</v>
      </c>
      <c r="O57" s="8" cm="1">
        <f t="array" ref="O57">VLOOKUP($B57,NAS1352First[],COLUMN(NAS1352First[Chamfer or Radius Max]),FALSE)</f>
        <v>5.0000000000000001E-3</v>
      </c>
      <c r="P57" s="8" cm="1">
        <f t="array" ref="P57">VLOOKUP($B57,NAS1352First[],COLUMN(NAS1352First[Minimum Basic Thread Length]),FALSE)</f>
        <v>0.875</v>
      </c>
      <c r="Q57" s="8" cm="1">
        <f t="array" ref="Q57">VLOOKUP($B57,NAS1352First[],COLUMN(NAS1352First[Drilled Hole Location Max]),FALSE)</f>
        <v>6.5000000000000002E-2</v>
      </c>
      <c r="R57" s="8" cm="1">
        <f t="array" ref="R57">VLOOKUP($B57,NAS1352First[],COLUMN(NAS1352First[Drilled Hole Location Min]),FALSE)</f>
        <v>4.4999999999999998E-2</v>
      </c>
      <c r="S57" s="8" cm="1">
        <f t="array" ref="S57">VLOOKUP($B57,NAS1352First[],COLUMN(NAS1352First[Drilled Hole Diameter Max]),FALSE)</f>
        <v>0.05</v>
      </c>
      <c r="T57" s="8" cm="1">
        <f t="array" ref="T57">VLOOKUP($B57,NAS1352First[],COLUMN(NAS1352First[Drilled Hole Diameter Min]),FALSE)</f>
        <v>4.3999999999999997E-2</v>
      </c>
      <c r="U57" s="8" cm="1">
        <f t="array" ref="U57">VLOOKUP($B57,NAS1352First[],COLUMN(NAS1352First[Alloy Steel Minimum Breaking Strength (lb)]),FALSE)</f>
        <v>3150</v>
      </c>
      <c r="V57" s="8" cm="1">
        <f t="array" ref="V57">VLOOKUP($B57,NAS1352First[],COLUMN(NAS1352First[Corrosion Resistant Steel Minimum Breaking Strength (lb)]),FALSE)</f>
        <v>1400</v>
      </c>
      <c r="W57" s="17" cm="1">
        <f t="array" ref="W57">VLOOKUP($B57,NAS1352First[],COLUMN(NAS1352First[Heat Resistant Steel Minimum Breaking Strength (lb)]),FALSE)</f>
        <v>2800</v>
      </c>
    </row>
    <row r="58" spans="1:23" x14ac:dyDescent="0.25">
      <c r="A58" s="15" t="s">
        <v>575</v>
      </c>
      <c r="B58" s="8" t="str">
        <f t="shared" si="1"/>
        <v>3</v>
      </c>
      <c r="C58" s="8">
        <f t="shared" si="2"/>
        <v>0.625</v>
      </c>
      <c r="D58" s="8" t="str" cm="1">
        <f t="array" ref="D58">VLOOKUP($B58,NAS1352First[],COLUMN(NAS1352First[Thread Size]),FALSE)</f>
        <v>10-24 or 0.190-24 UNC CLASS 3</v>
      </c>
      <c r="E58" s="8" cm="1">
        <f t="array" ref="E58">VLOOKUP($B58,NAS1352First[],COLUMN(NAS1352First[Body Diameter Max]),FALSE)</f>
        <v>0.19</v>
      </c>
      <c r="F58" s="8" cm="1">
        <f t="array" ref="F58">VLOOKUP($B58,NAS1352First[],COLUMN(NAS1352First[Body Diameter Max2]),FALSE)</f>
        <v>0.184</v>
      </c>
      <c r="G58" s="8" cm="1">
        <f t="array" ref="G58">VLOOKUP($B58,NAS1352First[],COLUMN(NAS1352First[Head Diameter Max]),FALSE)</f>
        <v>0.312</v>
      </c>
      <c r="H58" s="8" cm="1">
        <f t="array" ref="H58">VLOOKUP($B58,NAS1352First[],COLUMN(NAS1352First[Head Diameter Min]),FALSE)</f>
        <v>0.30299999999999999</v>
      </c>
      <c r="I58" s="8" cm="1">
        <f t="array" ref="I58">VLOOKUP($B58,NAS1352First[],COLUMN(NAS1352First[Head Height Max]),FALSE)</f>
        <v>0.19</v>
      </c>
      <c r="J58" s="8" cm="1">
        <f t="array" ref="J58">VLOOKUP($B58,NAS1352First[],COLUMN(NAS1352First[Head Height Min]),FALSE)</f>
        <v>0.185</v>
      </c>
      <c r="K58" s="8" cm="1">
        <f t="array" ref="K58">VLOOKUP($B58,NAS1352First[],COLUMN(NAS1352First[Head Side Height Min]),FALSE)</f>
        <v>0.17100000000000001</v>
      </c>
      <c r="L58" s="8" cm="1">
        <f t="array" ref="L58">VLOOKUP($B58,NAS1352First[],COLUMN(NAS1352First[Nominal Socket Size]),FALSE)</f>
        <v>0.156</v>
      </c>
      <c r="M58" s="8" cm="1">
        <f t="array" ref="M58">VLOOKUP($B58,NAS1352First[],COLUMN(NAS1352First[Key Engagement Min]),FALSE)</f>
        <v>0.09</v>
      </c>
      <c r="N58" s="8" cm="1">
        <f t="array" ref="N58">VLOOKUP($B58,NAS1352First[],COLUMN(NAS1352First[Wall Thickness Min]),FALSE)</f>
        <v>6.5000000000000002E-2</v>
      </c>
      <c r="O58" s="8" cm="1">
        <f t="array" ref="O58">VLOOKUP($B58,NAS1352First[],COLUMN(NAS1352First[Chamfer or Radius Max]),FALSE)</f>
        <v>5.0000000000000001E-3</v>
      </c>
      <c r="P58" s="8" cm="1">
        <f t="array" ref="P58">VLOOKUP($B58,NAS1352First[],COLUMN(NAS1352First[Minimum Basic Thread Length]),FALSE)</f>
        <v>0.875</v>
      </c>
      <c r="Q58" s="8" cm="1">
        <f t="array" ref="Q58">VLOOKUP($B58,NAS1352First[],COLUMN(NAS1352First[Drilled Hole Location Max]),FALSE)</f>
        <v>6.5000000000000002E-2</v>
      </c>
      <c r="R58" s="8" cm="1">
        <f t="array" ref="R58">VLOOKUP($B58,NAS1352First[],COLUMN(NAS1352First[Drilled Hole Location Min]),FALSE)</f>
        <v>4.4999999999999998E-2</v>
      </c>
      <c r="S58" s="8" cm="1">
        <f t="array" ref="S58">VLOOKUP($B58,NAS1352First[],COLUMN(NAS1352First[Drilled Hole Diameter Max]),FALSE)</f>
        <v>0.05</v>
      </c>
      <c r="T58" s="8" cm="1">
        <f t="array" ref="T58">VLOOKUP($B58,NAS1352First[],COLUMN(NAS1352First[Drilled Hole Diameter Min]),FALSE)</f>
        <v>4.3999999999999997E-2</v>
      </c>
      <c r="U58" s="8" cm="1">
        <f t="array" ref="U58">VLOOKUP($B58,NAS1352First[],COLUMN(NAS1352First[Alloy Steel Minimum Breaking Strength (lb)]),FALSE)</f>
        <v>3150</v>
      </c>
      <c r="V58" s="8" cm="1">
        <f t="array" ref="V58">VLOOKUP($B58,NAS1352First[],COLUMN(NAS1352First[Corrosion Resistant Steel Minimum Breaking Strength (lb)]),FALSE)</f>
        <v>1400</v>
      </c>
      <c r="W58" s="17" cm="1">
        <f t="array" ref="W58">VLOOKUP($B58,NAS1352First[],COLUMN(NAS1352First[Heat Resistant Steel Minimum Breaking Strength (lb)]),FALSE)</f>
        <v>2800</v>
      </c>
    </row>
    <row r="59" spans="1:23" x14ac:dyDescent="0.25">
      <c r="A59" s="15" t="s">
        <v>576</v>
      </c>
      <c r="B59" s="8" t="str">
        <f t="shared" si="1"/>
        <v>3</v>
      </c>
      <c r="C59" s="8">
        <f t="shared" si="2"/>
        <v>0.75</v>
      </c>
      <c r="D59" s="8" t="str" cm="1">
        <f t="array" ref="D59">VLOOKUP($B59,NAS1352First[],COLUMN(NAS1352First[Thread Size]),FALSE)</f>
        <v>10-24 or 0.190-24 UNC CLASS 3</v>
      </c>
      <c r="E59" s="8" cm="1">
        <f t="array" ref="E59">VLOOKUP($B59,NAS1352First[],COLUMN(NAS1352First[Body Diameter Max]),FALSE)</f>
        <v>0.19</v>
      </c>
      <c r="F59" s="8" cm="1">
        <f t="array" ref="F59">VLOOKUP($B59,NAS1352First[],COLUMN(NAS1352First[Body Diameter Max2]),FALSE)</f>
        <v>0.184</v>
      </c>
      <c r="G59" s="8" cm="1">
        <f t="array" ref="G59">VLOOKUP($B59,NAS1352First[],COLUMN(NAS1352First[Head Diameter Max]),FALSE)</f>
        <v>0.312</v>
      </c>
      <c r="H59" s="8" cm="1">
        <f t="array" ref="H59">VLOOKUP($B59,NAS1352First[],COLUMN(NAS1352First[Head Diameter Min]),FALSE)</f>
        <v>0.30299999999999999</v>
      </c>
      <c r="I59" s="8" cm="1">
        <f t="array" ref="I59">VLOOKUP($B59,NAS1352First[],COLUMN(NAS1352First[Head Height Max]),FALSE)</f>
        <v>0.19</v>
      </c>
      <c r="J59" s="8" cm="1">
        <f t="array" ref="J59">VLOOKUP($B59,NAS1352First[],COLUMN(NAS1352First[Head Height Min]),FALSE)</f>
        <v>0.185</v>
      </c>
      <c r="K59" s="8" cm="1">
        <f t="array" ref="K59">VLOOKUP($B59,NAS1352First[],COLUMN(NAS1352First[Head Side Height Min]),FALSE)</f>
        <v>0.17100000000000001</v>
      </c>
      <c r="L59" s="8" cm="1">
        <f t="array" ref="L59">VLOOKUP($B59,NAS1352First[],COLUMN(NAS1352First[Nominal Socket Size]),FALSE)</f>
        <v>0.156</v>
      </c>
      <c r="M59" s="8" cm="1">
        <f t="array" ref="M59">VLOOKUP($B59,NAS1352First[],COLUMN(NAS1352First[Key Engagement Min]),FALSE)</f>
        <v>0.09</v>
      </c>
      <c r="N59" s="8" cm="1">
        <f t="array" ref="N59">VLOOKUP($B59,NAS1352First[],COLUMN(NAS1352First[Wall Thickness Min]),FALSE)</f>
        <v>6.5000000000000002E-2</v>
      </c>
      <c r="O59" s="8" cm="1">
        <f t="array" ref="O59">VLOOKUP($B59,NAS1352First[],COLUMN(NAS1352First[Chamfer or Radius Max]),FALSE)</f>
        <v>5.0000000000000001E-3</v>
      </c>
      <c r="P59" s="8" cm="1">
        <f t="array" ref="P59">VLOOKUP($B59,NAS1352First[],COLUMN(NAS1352First[Minimum Basic Thread Length]),FALSE)</f>
        <v>0.875</v>
      </c>
      <c r="Q59" s="8" cm="1">
        <f t="array" ref="Q59">VLOOKUP($B59,NAS1352First[],COLUMN(NAS1352First[Drilled Hole Location Max]),FALSE)</f>
        <v>6.5000000000000002E-2</v>
      </c>
      <c r="R59" s="8" cm="1">
        <f t="array" ref="R59">VLOOKUP($B59,NAS1352First[],COLUMN(NAS1352First[Drilled Hole Location Min]),FALSE)</f>
        <v>4.4999999999999998E-2</v>
      </c>
      <c r="S59" s="8" cm="1">
        <f t="array" ref="S59">VLOOKUP($B59,NAS1352First[],COLUMN(NAS1352First[Drilled Hole Diameter Max]),FALSE)</f>
        <v>0.05</v>
      </c>
      <c r="T59" s="8" cm="1">
        <f t="array" ref="T59">VLOOKUP($B59,NAS1352First[],COLUMN(NAS1352First[Drilled Hole Diameter Min]),FALSE)</f>
        <v>4.3999999999999997E-2</v>
      </c>
      <c r="U59" s="8" cm="1">
        <f t="array" ref="U59">VLOOKUP($B59,NAS1352First[],COLUMN(NAS1352First[Alloy Steel Minimum Breaking Strength (lb)]),FALSE)</f>
        <v>3150</v>
      </c>
      <c r="V59" s="8" cm="1">
        <f t="array" ref="V59">VLOOKUP($B59,NAS1352First[],COLUMN(NAS1352First[Corrosion Resistant Steel Minimum Breaking Strength (lb)]),FALSE)</f>
        <v>1400</v>
      </c>
      <c r="W59" s="17" cm="1">
        <f t="array" ref="W59">VLOOKUP($B59,NAS1352First[],COLUMN(NAS1352First[Heat Resistant Steel Minimum Breaking Strength (lb)]),FALSE)</f>
        <v>2800</v>
      </c>
    </row>
    <row r="60" spans="1:23" x14ac:dyDescent="0.25">
      <c r="A60" s="15" t="s">
        <v>577</v>
      </c>
      <c r="B60" s="8" t="str">
        <f t="shared" si="1"/>
        <v>3</v>
      </c>
      <c r="C60" s="8">
        <f t="shared" si="2"/>
        <v>0.875</v>
      </c>
      <c r="D60" s="8" t="str" cm="1">
        <f t="array" ref="D60">VLOOKUP($B60,NAS1352First[],COLUMN(NAS1352First[Thread Size]),FALSE)</f>
        <v>10-24 or 0.190-24 UNC CLASS 3</v>
      </c>
      <c r="E60" s="8" cm="1">
        <f t="array" ref="E60">VLOOKUP($B60,NAS1352First[],COLUMN(NAS1352First[Body Diameter Max]),FALSE)</f>
        <v>0.19</v>
      </c>
      <c r="F60" s="8" cm="1">
        <f t="array" ref="F60">VLOOKUP($B60,NAS1352First[],COLUMN(NAS1352First[Body Diameter Max2]),FALSE)</f>
        <v>0.184</v>
      </c>
      <c r="G60" s="8" cm="1">
        <f t="array" ref="G60">VLOOKUP($B60,NAS1352First[],COLUMN(NAS1352First[Head Diameter Max]),FALSE)</f>
        <v>0.312</v>
      </c>
      <c r="H60" s="8" cm="1">
        <f t="array" ref="H60">VLOOKUP($B60,NAS1352First[],COLUMN(NAS1352First[Head Diameter Min]),FALSE)</f>
        <v>0.30299999999999999</v>
      </c>
      <c r="I60" s="8" cm="1">
        <f t="array" ref="I60">VLOOKUP($B60,NAS1352First[],COLUMN(NAS1352First[Head Height Max]),FALSE)</f>
        <v>0.19</v>
      </c>
      <c r="J60" s="8" cm="1">
        <f t="array" ref="J60">VLOOKUP($B60,NAS1352First[],COLUMN(NAS1352First[Head Height Min]),FALSE)</f>
        <v>0.185</v>
      </c>
      <c r="K60" s="8" cm="1">
        <f t="array" ref="K60">VLOOKUP($B60,NAS1352First[],COLUMN(NAS1352First[Head Side Height Min]),FALSE)</f>
        <v>0.17100000000000001</v>
      </c>
      <c r="L60" s="8" cm="1">
        <f t="array" ref="L60">VLOOKUP($B60,NAS1352First[],COLUMN(NAS1352First[Nominal Socket Size]),FALSE)</f>
        <v>0.156</v>
      </c>
      <c r="M60" s="8" cm="1">
        <f t="array" ref="M60">VLOOKUP($B60,NAS1352First[],COLUMN(NAS1352First[Key Engagement Min]),FALSE)</f>
        <v>0.09</v>
      </c>
      <c r="N60" s="8" cm="1">
        <f t="array" ref="N60">VLOOKUP($B60,NAS1352First[],COLUMN(NAS1352First[Wall Thickness Min]),FALSE)</f>
        <v>6.5000000000000002E-2</v>
      </c>
      <c r="O60" s="8" cm="1">
        <f t="array" ref="O60">VLOOKUP($B60,NAS1352First[],COLUMN(NAS1352First[Chamfer or Radius Max]),FALSE)</f>
        <v>5.0000000000000001E-3</v>
      </c>
      <c r="P60" s="8" cm="1">
        <f t="array" ref="P60">VLOOKUP($B60,NAS1352First[],COLUMN(NAS1352First[Minimum Basic Thread Length]),FALSE)</f>
        <v>0.875</v>
      </c>
      <c r="Q60" s="8" cm="1">
        <f t="array" ref="Q60">VLOOKUP($B60,NAS1352First[],COLUMN(NAS1352First[Drilled Hole Location Max]),FALSE)</f>
        <v>6.5000000000000002E-2</v>
      </c>
      <c r="R60" s="8" cm="1">
        <f t="array" ref="R60">VLOOKUP($B60,NAS1352First[],COLUMN(NAS1352First[Drilled Hole Location Min]),FALSE)</f>
        <v>4.4999999999999998E-2</v>
      </c>
      <c r="S60" s="8" cm="1">
        <f t="array" ref="S60">VLOOKUP($B60,NAS1352First[],COLUMN(NAS1352First[Drilled Hole Diameter Max]),FALSE)</f>
        <v>0.05</v>
      </c>
      <c r="T60" s="8" cm="1">
        <f t="array" ref="T60">VLOOKUP($B60,NAS1352First[],COLUMN(NAS1352First[Drilled Hole Diameter Min]),FALSE)</f>
        <v>4.3999999999999997E-2</v>
      </c>
      <c r="U60" s="8" cm="1">
        <f t="array" ref="U60">VLOOKUP($B60,NAS1352First[],COLUMN(NAS1352First[Alloy Steel Minimum Breaking Strength (lb)]),FALSE)</f>
        <v>3150</v>
      </c>
      <c r="V60" s="8" cm="1">
        <f t="array" ref="V60">VLOOKUP($B60,NAS1352First[],COLUMN(NAS1352First[Corrosion Resistant Steel Minimum Breaking Strength (lb)]),FALSE)</f>
        <v>1400</v>
      </c>
      <c r="W60" s="17" cm="1">
        <f t="array" ref="W60">VLOOKUP($B60,NAS1352First[],COLUMN(NAS1352First[Heat Resistant Steel Minimum Breaking Strength (lb)]),FALSE)</f>
        <v>2800</v>
      </c>
    </row>
    <row r="61" spans="1:23" x14ac:dyDescent="0.25">
      <c r="A61" s="15" t="s">
        <v>578</v>
      </c>
      <c r="B61" s="8" t="str">
        <f t="shared" si="1"/>
        <v>3</v>
      </c>
      <c r="C61" s="8">
        <f t="shared" si="2"/>
        <v>1</v>
      </c>
      <c r="D61" s="8" t="str" cm="1">
        <f t="array" ref="D61">VLOOKUP($B61,NAS1352First[],COLUMN(NAS1352First[Thread Size]),FALSE)</f>
        <v>10-24 or 0.190-24 UNC CLASS 3</v>
      </c>
      <c r="E61" s="8" cm="1">
        <f t="array" ref="E61">VLOOKUP($B61,NAS1352First[],COLUMN(NAS1352First[Body Diameter Max]),FALSE)</f>
        <v>0.19</v>
      </c>
      <c r="F61" s="8" cm="1">
        <f t="array" ref="F61">VLOOKUP($B61,NAS1352First[],COLUMN(NAS1352First[Body Diameter Max2]),FALSE)</f>
        <v>0.184</v>
      </c>
      <c r="G61" s="8" cm="1">
        <f t="array" ref="G61">VLOOKUP($B61,NAS1352First[],COLUMN(NAS1352First[Head Diameter Max]),FALSE)</f>
        <v>0.312</v>
      </c>
      <c r="H61" s="8" cm="1">
        <f t="array" ref="H61">VLOOKUP($B61,NAS1352First[],COLUMN(NAS1352First[Head Diameter Min]),FALSE)</f>
        <v>0.30299999999999999</v>
      </c>
      <c r="I61" s="8" cm="1">
        <f t="array" ref="I61">VLOOKUP($B61,NAS1352First[],COLUMN(NAS1352First[Head Height Max]),FALSE)</f>
        <v>0.19</v>
      </c>
      <c r="J61" s="8" cm="1">
        <f t="array" ref="J61">VLOOKUP($B61,NAS1352First[],COLUMN(NAS1352First[Head Height Min]),FALSE)</f>
        <v>0.185</v>
      </c>
      <c r="K61" s="8" cm="1">
        <f t="array" ref="K61">VLOOKUP($B61,NAS1352First[],COLUMN(NAS1352First[Head Side Height Min]),FALSE)</f>
        <v>0.17100000000000001</v>
      </c>
      <c r="L61" s="8" cm="1">
        <f t="array" ref="L61">VLOOKUP($B61,NAS1352First[],COLUMN(NAS1352First[Nominal Socket Size]),FALSE)</f>
        <v>0.156</v>
      </c>
      <c r="M61" s="8" cm="1">
        <f t="array" ref="M61">VLOOKUP($B61,NAS1352First[],COLUMN(NAS1352First[Key Engagement Min]),FALSE)</f>
        <v>0.09</v>
      </c>
      <c r="N61" s="8" cm="1">
        <f t="array" ref="N61">VLOOKUP($B61,NAS1352First[],COLUMN(NAS1352First[Wall Thickness Min]),FALSE)</f>
        <v>6.5000000000000002E-2</v>
      </c>
      <c r="O61" s="8" cm="1">
        <f t="array" ref="O61">VLOOKUP($B61,NAS1352First[],COLUMN(NAS1352First[Chamfer or Radius Max]),FALSE)</f>
        <v>5.0000000000000001E-3</v>
      </c>
      <c r="P61" s="8" cm="1">
        <f t="array" ref="P61">VLOOKUP($B61,NAS1352First[],COLUMN(NAS1352First[Minimum Basic Thread Length]),FALSE)</f>
        <v>0.875</v>
      </c>
      <c r="Q61" s="8" cm="1">
        <f t="array" ref="Q61">VLOOKUP($B61,NAS1352First[],COLUMN(NAS1352First[Drilled Hole Location Max]),FALSE)</f>
        <v>6.5000000000000002E-2</v>
      </c>
      <c r="R61" s="8" cm="1">
        <f t="array" ref="R61">VLOOKUP($B61,NAS1352First[],COLUMN(NAS1352First[Drilled Hole Location Min]),FALSE)</f>
        <v>4.4999999999999998E-2</v>
      </c>
      <c r="S61" s="8" cm="1">
        <f t="array" ref="S61">VLOOKUP($B61,NAS1352First[],COLUMN(NAS1352First[Drilled Hole Diameter Max]),FALSE)</f>
        <v>0.05</v>
      </c>
      <c r="T61" s="8" cm="1">
        <f t="array" ref="T61">VLOOKUP($B61,NAS1352First[],COLUMN(NAS1352First[Drilled Hole Diameter Min]),FALSE)</f>
        <v>4.3999999999999997E-2</v>
      </c>
      <c r="U61" s="8" cm="1">
        <f t="array" ref="U61">VLOOKUP($B61,NAS1352First[],COLUMN(NAS1352First[Alloy Steel Minimum Breaking Strength (lb)]),FALSE)</f>
        <v>3150</v>
      </c>
      <c r="V61" s="8" cm="1">
        <f t="array" ref="V61">VLOOKUP($B61,NAS1352First[],COLUMN(NAS1352First[Corrosion Resistant Steel Minimum Breaking Strength (lb)]),FALSE)</f>
        <v>1400</v>
      </c>
      <c r="W61" s="17" cm="1">
        <f t="array" ref="W61">VLOOKUP($B61,NAS1352First[],COLUMN(NAS1352First[Heat Resistant Steel Minimum Breaking Strength (lb)]),FALSE)</f>
        <v>2800</v>
      </c>
    </row>
    <row r="62" spans="1:23" x14ac:dyDescent="0.25">
      <c r="A62" s="15" t="s">
        <v>579</v>
      </c>
      <c r="B62" s="8" t="str">
        <f t="shared" si="1"/>
        <v>3</v>
      </c>
      <c r="C62" s="8">
        <f t="shared" si="2"/>
        <v>1.25</v>
      </c>
      <c r="D62" s="8" t="str" cm="1">
        <f t="array" ref="D62">VLOOKUP($B62,NAS1352First[],COLUMN(NAS1352First[Thread Size]),FALSE)</f>
        <v>10-24 or 0.190-24 UNC CLASS 3</v>
      </c>
      <c r="E62" s="8" cm="1">
        <f t="array" ref="E62">VLOOKUP($B62,NAS1352First[],COLUMN(NAS1352First[Body Diameter Max]),FALSE)</f>
        <v>0.19</v>
      </c>
      <c r="F62" s="8" cm="1">
        <f t="array" ref="F62">VLOOKUP($B62,NAS1352First[],COLUMN(NAS1352First[Body Diameter Max2]),FALSE)</f>
        <v>0.184</v>
      </c>
      <c r="G62" s="8" cm="1">
        <f t="array" ref="G62">VLOOKUP($B62,NAS1352First[],COLUMN(NAS1352First[Head Diameter Max]),FALSE)</f>
        <v>0.312</v>
      </c>
      <c r="H62" s="8" cm="1">
        <f t="array" ref="H62">VLOOKUP($B62,NAS1352First[],COLUMN(NAS1352First[Head Diameter Min]),FALSE)</f>
        <v>0.30299999999999999</v>
      </c>
      <c r="I62" s="8" cm="1">
        <f t="array" ref="I62">VLOOKUP($B62,NAS1352First[],COLUMN(NAS1352First[Head Height Max]),FALSE)</f>
        <v>0.19</v>
      </c>
      <c r="J62" s="8" cm="1">
        <f t="array" ref="J62">VLOOKUP($B62,NAS1352First[],COLUMN(NAS1352First[Head Height Min]),FALSE)</f>
        <v>0.185</v>
      </c>
      <c r="K62" s="8" cm="1">
        <f t="array" ref="K62">VLOOKUP($B62,NAS1352First[],COLUMN(NAS1352First[Head Side Height Min]),FALSE)</f>
        <v>0.17100000000000001</v>
      </c>
      <c r="L62" s="8" cm="1">
        <f t="array" ref="L62">VLOOKUP($B62,NAS1352First[],COLUMN(NAS1352First[Nominal Socket Size]),FALSE)</f>
        <v>0.156</v>
      </c>
      <c r="M62" s="8" cm="1">
        <f t="array" ref="M62">VLOOKUP($B62,NAS1352First[],COLUMN(NAS1352First[Key Engagement Min]),FALSE)</f>
        <v>0.09</v>
      </c>
      <c r="N62" s="8" cm="1">
        <f t="array" ref="N62">VLOOKUP($B62,NAS1352First[],COLUMN(NAS1352First[Wall Thickness Min]),FALSE)</f>
        <v>6.5000000000000002E-2</v>
      </c>
      <c r="O62" s="8" cm="1">
        <f t="array" ref="O62">VLOOKUP($B62,NAS1352First[],COLUMN(NAS1352First[Chamfer or Radius Max]),FALSE)</f>
        <v>5.0000000000000001E-3</v>
      </c>
      <c r="P62" s="8" cm="1">
        <f t="array" ref="P62">VLOOKUP($B62,NAS1352First[],COLUMN(NAS1352First[Minimum Basic Thread Length]),FALSE)</f>
        <v>0.875</v>
      </c>
      <c r="Q62" s="8" cm="1">
        <f t="array" ref="Q62">VLOOKUP($B62,NAS1352First[],COLUMN(NAS1352First[Drilled Hole Location Max]),FALSE)</f>
        <v>6.5000000000000002E-2</v>
      </c>
      <c r="R62" s="8" cm="1">
        <f t="array" ref="R62">VLOOKUP($B62,NAS1352First[],COLUMN(NAS1352First[Drilled Hole Location Min]),FALSE)</f>
        <v>4.4999999999999998E-2</v>
      </c>
      <c r="S62" s="8" cm="1">
        <f t="array" ref="S62">VLOOKUP($B62,NAS1352First[],COLUMN(NAS1352First[Drilled Hole Diameter Max]),FALSE)</f>
        <v>0.05</v>
      </c>
      <c r="T62" s="8" cm="1">
        <f t="array" ref="T62">VLOOKUP($B62,NAS1352First[],COLUMN(NAS1352First[Drilled Hole Diameter Min]),FALSE)</f>
        <v>4.3999999999999997E-2</v>
      </c>
      <c r="U62" s="8" cm="1">
        <f t="array" ref="U62">VLOOKUP($B62,NAS1352First[],COLUMN(NAS1352First[Alloy Steel Minimum Breaking Strength (lb)]),FALSE)</f>
        <v>3150</v>
      </c>
      <c r="V62" s="8" cm="1">
        <f t="array" ref="V62">VLOOKUP($B62,NAS1352First[],COLUMN(NAS1352First[Corrosion Resistant Steel Minimum Breaking Strength (lb)]),FALSE)</f>
        <v>1400</v>
      </c>
      <c r="W62" s="17" cm="1">
        <f t="array" ref="W62">VLOOKUP($B62,NAS1352First[],COLUMN(NAS1352First[Heat Resistant Steel Minimum Breaking Strength (lb)]),FALSE)</f>
        <v>2800</v>
      </c>
    </row>
    <row r="63" spans="1:23" x14ac:dyDescent="0.25">
      <c r="A63" s="15" t="s">
        <v>580</v>
      </c>
      <c r="B63" s="8" t="str">
        <f t="shared" si="1"/>
        <v>3</v>
      </c>
      <c r="C63" s="8">
        <f t="shared" si="2"/>
        <v>1.5</v>
      </c>
      <c r="D63" s="8" t="str" cm="1">
        <f t="array" ref="D63">VLOOKUP($B63,NAS1352First[],COLUMN(NAS1352First[Thread Size]),FALSE)</f>
        <v>10-24 or 0.190-24 UNC CLASS 3</v>
      </c>
      <c r="E63" s="8" cm="1">
        <f t="array" ref="E63">VLOOKUP($B63,NAS1352First[],COLUMN(NAS1352First[Body Diameter Max]),FALSE)</f>
        <v>0.19</v>
      </c>
      <c r="F63" s="8" cm="1">
        <f t="array" ref="F63">VLOOKUP($B63,NAS1352First[],COLUMN(NAS1352First[Body Diameter Max2]),FALSE)</f>
        <v>0.184</v>
      </c>
      <c r="G63" s="8" cm="1">
        <f t="array" ref="G63">VLOOKUP($B63,NAS1352First[],COLUMN(NAS1352First[Head Diameter Max]),FALSE)</f>
        <v>0.312</v>
      </c>
      <c r="H63" s="8" cm="1">
        <f t="array" ref="H63">VLOOKUP($B63,NAS1352First[],COLUMN(NAS1352First[Head Diameter Min]),FALSE)</f>
        <v>0.30299999999999999</v>
      </c>
      <c r="I63" s="8" cm="1">
        <f t="array" ref="I63">VLOOKUP($B63,NAS1352First[],COLUMN(NAS1352First[Head Height Max]),FALSE)</f>
        <v>0.19</v>
      </c>
      <c r="J63" s="8" cm="1">
        <f t="array" ref="J63">VLOOKUP($B63,NAS1352First[],COLUMN(NAS1352First[Head Height Min]),FALSE)</f>
        <v>0.185</v>
      </c>
      <c r="K63" s="8" cm="1">
        <f t="array" ref="K63">VLOOKUP($B63,NAS1352First[],COLUMN(NAS1352First[Head Side Height Min]),FALSE)</f>
        <v>0.17100000000000001</v>
      </c>
      <c r="L63" s="8" cm="1">
        <f t="array" ref="L63">VLOOKUP($B63,NAS1352First[],COLUMN(NAS1352First[Nominal Socket Size]),FALSE)</f>
        <v>0.156</v>
      </c>
      <c r="M63" s="8" cm="1">
        <f t="array" ref="M63">VLOOKUP($B63,NAS1352First[],COLUMN(NAS1352First[Key Engagement Min]),FALSE)</f>
        <v>0.09</v>
      </c>
      <c r="N63" s="8" cm="1">
        <f t="array" ref="N63">VLOOKUP($B63,NAS1352First[],COLUMN(NAS1352First[Wall Thickness Min]),FALSE)</f>
        <v>6.5000000000000002E-2</v>
      </c>
      <c r="O63" s="8" cm="1">
        <f t="array" ref="O63">VLOOKUP($B63,NAS1352First[],COLUMN(NAS1352First[Chamfer or Radius Max]),FALSE)</f>
        <v>5.0000000000000001E-3</v>
      </c>
      <c r="P63" s="8" cm="1">
        <f t="array" ref="P63">VLOOKUP($B63,NAS1352First[],COLUMN(NAS1352First[Minimum Basic Thread Length]),FALSE)</f>
        <v>0.875</v>
      </c>
      <c r="Q63" s="8" cm="1">
        <f t="array" ref="Q63">VLOOKUP($B63,NAS1352First[],COLUMN(NAS1352First[Drilled Hole Location Max]),FALSE)</f>
        <v>6.5000000000000002E-2</v>
      </c>
      <c r="R63" s="8" cm="1">
        <f t="array" ref="R63">VLOOKUP($B63,NAS1352First[],COLUMN(NAS1352First[Drilled Hole Location Min]),FALSE)</f>
        <v>4.4999999999999998E-2</v>
      </c>
      <c r="S63" s="8" cm="1">
        <f t="array" ref="S63">VLOOKUP($B63,NAS1352First[],COLUMN(NAS1352First[Drilled Hole Diameter Max]),FALSE)</f>
        <v>0.05</v>
      </c>
      <c r="T63" s="8" cm="1">
        <f t="array" ref="T63">VLOOKUP($B63,NAS1352First[],COLUMN(NAS1352First[Drilled Hole Diameter Min]),FALSE)</f>
        <v>4.3999999999999997E-2</v>
      </c>
      <c r="U63" s="8" cm="1">
        <f t="array" ref="U63">VLOOKUP($B63,NAS1352First[],COLUMN(NAS1352First[Alloy Steel Minimum Breaking Strength (lb)]),FALSE)</f>
        <v>3150</v>
      </c>
      <c r="V63" s="8" cm="1">
        <f t="array" ref="V63">VLOOKUP($B63,NAS1352First[],COLUMN(NAS1352First[Corrosion Resistant Steel Minimum Breaking Strength (lb)]),FALSE)</f>
        <v>1400</v>
      </c>
      <c r="W63" s="17" cm="1">
        <f t="array" ref="W63">VLOOKUP($B63,NAS1352First[],COLUMN(NAS1352First[Heat Resistant Steel Minimum Breaking Strength (lb)]),FALSE)</f>
        <v>2800</v>
      </c>
    </row>
    <row r="64" spans="1:23" x14ac:dyDescent="0.25">
      <c r="A64" s="15" t="s">
        <v>581</v>
      </c>
      <c r="B64" s="8" t="str">
        <f t="shared" si="1"/>
        <v>3</v>
      </c>
      <c r="C64" s="8">
        <f t="shared" si="2"/>
        <v>1.75</v>
      </c>
      <c r="D64" s="8" t="str" cm="1">
        <f t="array" ref="D64">VLOOKUP($B64,NAS1352First[],COLUMN(NAS1352First[Thread Size]),FALSE)</f>
        <v>10-24 or 0.190-24 UNC CLASS 3</v>
      </c>
      <c r="E64" s="8" cm="1">
        <f t="array" ref="E64">VLOOKUP($B64,NAS1352First[],COLUMN(NAS1352First[Body Diameter Max]),FALSE)</f>
        <v>0.19</v>
      </c>
      <c r="F64" s="8" cm="1">
        <f t="array" ref="F64">VLOOKUP($B64,NAS1352First[],COLUMN(NAS1352First[Body Diameter Max2]),FALSE)</f>
        <v>0.184</v>
      </c>
      <c r="G64" s="8" cm="1">
        <f t="array" ref="G64">VLOOKUP($B64,NAS1352First[],COLUMN(NAS1352First[Head Diameter Max]),FALSE)</f>
        <v>0.312</v>
      </c>
      <c r="H64" s="8" cm="1">
        <f t="array" ref="H64">VLOOKUP($B64,NAS1352First[],COLUMN(NAS1352First[Head Diameter Min]),FALSE)</f>
        <v>0.30299999999999999</v>
      </c>
      <c r="I64" s="8" cm="1">
        <f t="array" ref="I64">VLOOKUP($B64,NAS1352First[],COLUMN(NAS1352First[Head Height Max]),FALSE)</f>
        <v>0.19</v>
      </c>
      <c r="J64" s="8" cm="1">
        <f t="array" ref="J64">VLOOKUP($B64,NAS1352First[],COLUMN(NAS1352First[Head Height Min]),FALSE)</f>
        <v>0.185</v>
      </c>
      <c r="K64" s="8" cm="1">
        <f t="array" ref="K64">VLOOKUP($B64,NAS1352First[],COLUMN(NAS1352First[Head Side Height Min]),FALSE)</f>
        <v>0.17100000000000001</v>
      </c>
      <c r="L64" s="8" cm="1">
        <f t="array" ref="L64">VLOOKUP($B64,NAS1352First[],COLUMN(NAS1352First[Nominal Socket Size]),FALSE)</f>
        <v>0.156</v>
      </c>
      <c r="M64" s="8" cm="1">
        <f t="array" ref="M64">VLOOKUP($B64,NAS1352First[],COLUMN(NAS1352First[Key Engagement Min]),FALSE)</f>
        <v>0.09</v>
      </c>
      <c r="N64" s="8" cm="1">
        <f t="array" ref="N64">VLOOKUP($B64,NAS1352First[],COLUMN(NAS1352First[Wall Thickness Min]),FALSE)</f>
        <v>6.5000000000000002E-2</v>
      </c>
      <c r="O64" s="8" cm="1">
        <f t="array" ref="O64">VLOOKUP($B64,NAS1352First[],COLUMN(NAS1352First[Chamfer or Radius Max]),FALSE)</f>
        <v>5.0000000000000001E-3</v>
      </c>
      <c r="P64" s="8" cm="1">
        <f t="array" ref="P64">VLOOKUP($B64,NAS1352First[],COLUMN(NAS1352First[Minimum Basic Thread Length]),FALSE)</f>
        <v>0.875</v>
      </c>
      <c r="Q64" s="8" cm="1">
        <f t="array" ref="Q64">VLOOKUP($B64,NAS1352First[],COLUMN(NAS1352First[Drilled Hole Location Max]),FALSE)</f>
        <v>6.5000000000000002E-2</v>
      </c>
      <c r="R64" s="8" cm="1">
        <f t="array" ref="R64">VLOOKUP($B64,NAS1352First[],COLUMN(NAS1352First[Drilled Hole Location Min]),FALSE)</f>
        <v>4.4999999999999998E-2</v>
      </c>
      <c r="S64" s="8" cm="1">
        <f t="array" ref="S64">VLOOKUP($B64,NAS1352First[],COLUMN(NAS1352First[Drilled Hole Diameter Max]),FALSE)</f>
        <v>0.05</v>
      </c>
      <c r="T64" s="8" cm="1">
        <f t="array" ref="T64">VLOOKUP($B64,NAS1352First[],COLUMN(NAS1352First[Drilled Hole Diameter Min]),FALSE)</f>
        <v>4.3999999999999997E-2</v>
      </c>
      <c r="U64" s="8" cm="1">
        <f t="array" ref="U64">VLOOKUP($B64,NAS1352First[],COLUMN(NAS1352First[Alloy Steel Minimum Breaking Strength (lb)]),FALSE)</f>
        <v>3150</v>
      </c>
      <c r="V64" s="8" cm="1">
        <f t="array" ref="V64">VLOOKUP($B64,NAS1352First[],COLUMN(NAS1352First[Corrosion Resistant Steel Minimum Breaking Strength (lb)]),FALSE)</f>
        <v>1400</v>
      </c>
      <c r="W64" s="17" cm="1">
        <f t="array" ref="W64">VLOOKUP($B64,NAS1352First[],COLUMN(NAS1352First[Heat Resistant Steel Minimum Breaking Strength (lb)]),FALSE)</f>
        <v>2800</v>
      </c>
    </row>
    <row r="65" spans="1:23" x14ac:dyDescent="0.25">
      <c r="A65" s="15" t="s">
        <v>582</v>
      </c>
      <c r="B65" s="8" t="str">
        <f t="shared" si="1"/>
        <v>3</v>
      </c>
      <c r="C65" s="8">
        <f t="shared" si="2"/>
        <v>2</v>
      </c>
      <c r="D65" s="8" t="str" cm="1">
        <f t="array" ref="D65">VLOOKUP($B65,NAS1352First[],COLUMN(NAS1352First[Thread Size]),FALSE)</f>
        <v>10-24 or 0.190-24 UNC CLASS 3</v>
      </c>
      <c r="E65" s="8" cm="1">
        <f t="array" ref="E65">VLOOKUP($B65,NAS1352First[],COLUMN(NAS1352First[Body Diameter Max]),FALSE)</f>
        <v>0.19</v>
      </c>
      <c r="F65" s="8" cm="1">
        <f t="array" ref="F65">VLOOKUP($B65,NAS1352First[],COLUMN(NAS1352First[Body Diameter Max2]),FALSE)</f>
        <v>0.184</v>
      </c>
      <c r="G65" s="8" cm="1">
        <f t="array" ref="G65">VLOOKUP($B65,NAS1352First[],COLUMN(NAS1352First[Head Diameter Max]),FALSE)</f>
        <v>0.312</v>
      </c>
      <c r="H65" s="8" cm="1">
        <f t="array" ref="H65">VLOOKUP($B65,NAS1352First[],COLUMN(NAS1352First[Head Diameter Min]),FALSE)</f>
        <v>0.30299999999999999</v>
      </c>
      <c r="I65" s="8" cm="1">
        <f t="array" ref="I65">VLOOKUP($B65,NAS1352First[],COLUMN(NAS1352First[Head Height Max]),FALSE)</f>
        <v>0.19</v>
      </c>
      <c r="J65" s="8" cm="1">
        <f t="array" ref="J65">VLOOKUP($B65,NAS1352First[],COLUMN(NAS1352First[Head Height Min]),FALSE)</f>
        <v>0.185</v>
      </c>
      <c r="K65" s="8" cm="1">
        <f t="array" ref="K65">VLOOKUP($B65,NAS1352First[],COLUMN(NAS1352First[Head Side Height Min]),FALSE)</f>
        <v>0.17100000000000001</v>
      </c>
      <c r="L65" s="8" cm="1">
        <f t="array" ref="L65">VLOOKUP($B65,NAS1352First[],COLUMN(NAS1352First[Nominal Socket Size]),FALSE)</f>
        <v>0.156</v>
      </c>
      <c r="M65" s="8" cm="1">
        <f t="array" ref="M65">VLOOKUP($B65,NAS1352First[],COLUMN(NAS1352First[Key Engagement Min]),FALSE)</f>
        <v>0.09</v>
      </c>
      <c r="N65" s="8" cm="1">
        <f t="array" ref="N65">VLOOKUP($B65,NAS1352First[],COLUMN(NAS1352First[Wall Thickness Min]),FALSE)</f>
        <v>6.5000000000000002E-2</v>
      </c>
      <c r="O65" s="8" cm="1">
        <f t="array" ref="O65">VLOOKUP($B65,NAS1352First[],COLUMN(NAS1352First[Chamfer or Radius Max]),FALSE)</f>
        <v>5.0000000000000001E-3</v>
      </c>
      <c r="P65" s="8" cm="1">
        <f t="array" ref="P65">VLOOKUP($B65,NAS1352First[],COLUMN(NAS1352First[Minimum Basic Thread Length]),FALSE)</f>
        <v>0.875</v>
      </c>
      <c r="Q65" s="8" cm="1">
        <f t="array" ref="Q65">VLOOKUP($B65,NAS1352First[],COLUMN(NAS1352First[Drilled Hole Location Max]),FALSE)</f>
        <v>6.5000000000000002E-2</v>
      </c>
      <c r="R65" s="8" cm="1">
        <f t="array" ref="R65">VLOOKUP($B65,NAS1352First[],COLUMN(NAS1352First[Drilled Hole Location Min]),FALSE)</f>
        <v>4.4999999999999998E-2</v>
      </c>
      <c r="S65" s="8" cm="1">
        <f t="array" ref="S65">VLOOKUP($B65,NAS1352First[],COLUMN(NAS1352First[Drilled Hole Diameter Max]),FALSE)</f>
        <v>0.05</v>
      </c>
      <c r="T65" s="8" cm="1">
        <f t="array" ref="T65">VLOOKUP($B65,NAS1352First[],COLUMN(NAS1352First[Drilled Hole Diameter Min]),FALSE)</f>
        <v>4.3999999999999997E-2</v>
      </c>
      <c r="U65" s="8" cm="1">
        <f t="array" ref="U65">VLOOKUP($B65,NAS1352First[],COLUMN(NAS1352First[Alloy Steel Minimum Breaking Strength (lb)]),FALSE)</f>
        <v>3150</v>
      </c>
      <c r="V65" s="8" cm="1">
        <f t="array" ref="V65">VLOOKUP($B65,NAS1352First[],COLUMN(NAS1352First[Corrosion Resistant Steel Minimum Breaking Strength (lb)]),FALSE)</f>
        <v>1400</v>
      </c>
      <c r="W65" s="17" cm="1">
        <f t="array" ref="W65">VLOOKUP($B65,NAS1352First[],COLUMN(NAS1352First[Heat Resistant Steel Minimum Breaking Strength (lb)]),FALSE)</f>
        <v>2800</v>
      </c>
    </row>
    <row r="66" spans="1:23" x14ac:dyDescent="0.25">
      <c r="A66" s="15" t="s">
        <v>583</v>
      </c>
      <c r="B66" s="8" t="str">
        <f t="shared" si="1"/>
        <v>4</v>
      </c>
      <c r="C66" s="8">
        <f t="shared" si="2"/>
        <v>0.375</v>
      </c>
      <c r="D66" s="8" t="str" cm="1">
        <f t="array" ref="D66">VLOOKUP($B66,NAS1352First[],COLUMN(NAS1352First[Thread Size]),FALSE)</f>
        <v>1⁄4-20 or 0.2500-20 UNC CLASS 3</v>
      </c>
      <c r="E66" s="8" cm="1">
        <f t="array" ref="E66">VLOOKUP($B66,NAS1352First[],COLUMN(NAS1352First[Body Diameter Max]),FALSE)</f>
        <v>0.25</v>
      </c>
      <c r="F66" s="8" cm="1">
        <f t="array" ref="F66">VLOOKUP($B66,NAS1352First[],COLUMN(NAS1352First[Body Diameter Max2]),FALSE)</f>
        <v>0.24349999999999999</v>
      </c>
      <c r="G66" s="8" cm="1">
        <f t="array" ref="G66">VLOOKUP($B66,NAS1352First[],COLUMN(NAS1352First[Head Diameter Max]),FALSE)</f>
        <v>0.375</v>
      </c>
      <c r="H66" s="8" cm="1">
        <f t="array" ref="H66">VLOOKUP($B66,NAS1352First[],COLUMN(NAS1352First[Head Diameter Min]),FALSE)</f>
        <v>0.36499999999999999</v>
      </c>
      <c r="I66" s="8" cm="1">
        <f t="array" ref="I66">VLOOKUP($B66,NAS1352First[],COLUMN(NAS1352First[Head Height Max]),FALSE)</f>
        <v>0.25</v>
      </c>
      <c r="J66" s="8" cm="1">
        <f t="array" ref="J66">VLOOKUP($B66,NAS1352First[],COLUMN(NAS1352First[Head Height Min]),FALSE)</f>
        <v>0.24399999999999999</v>
      </c>
      <c r="K66" s="8" cm="1">
        <f t="array" ref="K66">VLOOKUP($B66,NAS1352First[],COLUMN(NAS1352First[Head Side Height Min]),FALSE)</f>
        <v>0.22500000000000001</v>
      </c>
      <c r="L66" s="8" cm="1">
        <f t="array" ref="L66">VLOOKUP($B66,NAS1352First[],COLUMN(NAS1352First[Nominal Socket Size]),FALSE)</f>
        <v>0.188</v>
      </c>
      <c r="M66" s="8" cm="1">
        <f t="array" ref="M66">VLOOKUP($B66,NAS1352First[],COLUMN(NAS1352First[Key Engagement Min]),FALSE)</f>
        <v>0.12</v>
      </c>
      <c r="N66" s="8" cm="1">
        <f t="array" ref="N66">VLOOKUP($B66,NAS1352First[],COLUMN(NAS1352First[Wall Thickness Min]),FALSE)</f>
        <v>9.5000000000000001E-2</v>
      </c>
      <c r="O66" s="8" cm="1">
        <f t="array" ref="O66">VLOOKUP($B66,NAS1352First[],COLUMN(NAS1352First[Chamfer or Radius Max]),FALSE)</f>
        <v>8.0000000000000002E-3</v>
      </c>
      <c r="P66" s="8" cm="1">
        <f t="array" ref="P66">VLOOKUP($B66,NAS1352First[],COLUMN(NAS1352First[Minimum Basic Thread Length]),FALSE)</f>
        <v>1</v>
      </c>
      <c r="Q66" s="8" cm="1">
        <f t="array" ref="Q66">VLOOKUP($B66,NAS1352First[],COLUMN(NAS1352First[Drilled Hole Location Max]),FALSE)</f>
        <v>8.5000000000000006E-2</v>
      </c>
      <c r="R66" s="8" cm="1">
        <f t="array" ref="R66">VLOOKUP($B66,NAS1352First[],COLUMN(NAS1352First[Drilled Hole Location Min]),FALSE)</f>
        <v>6.5000000000000002E-2</v>
      </c>
      <c r="S66" s="8" cm="1">
        <f t="array" ref="S66">VLOOKUP($B66,NAS1352First[],COLUMN(NAS1352First[Drilled Hole Diameter Max]),FALSE)</f>
        <v>0.05</v>
      </c>
      <c r="T66" s="8" cm="1">
        <f t="array" ref="T66">VLOOKUP($B66,NAS1352First[],COLUMN(NAS1352First[Drilled Hole Diameter Min]),FALSE)</f>
        <v>4.3999999999999997E-2</v>
      </c>
      <c r="U66" s="8" cm="1">
        <f t="array" ref="U66">VLOOKUP($B66,NAS1352First[],COLUMN(NAS1352First[Alloy Steel Minimum Breaking Strength (lb)]),FALSE)</f>
        <v>5700</v>
      </c>
      <c r="V66" s="8" cm="1">
        <f t="array" ref="V66">VLOOKUP($B66,NAS1352First[],COLUMN(NAS1352First[Corrosion Resistant Steel Minimum Breaking Strength (lb)]),FALSE)</f>
        <v>2540</v>
      </c>
      <c r="W66" s="17" cm="1">
        <f t="array" ref="W66">VLOOKUP($B66,NAS1352First[],COLUMN(NAS1352First[Heat Resistant Steel Minimum Breaking Strength (lb)]),FALSE)</f>
        <v>5090</v>
      </c>
    </row>
    <row r="67" spans="1:23" x14ac:dyDescent="0.25">
      <c r="A67" s="15" t="s">
        <v>584</v>
      </c>
      <c r="B67" s="8" t="str">
        <f t="shared" si="1"/>
        <v>4</v>
      </c>
      <c r="C67" s="8">
        <f t="shared" si="2"/>
        <v>0.5</v>
      </c>
      <c r="D67" s="8" t="str" cm="1">
        <f t="array" ref="D67">VLOOKUP($B67,NAS1352First[],COLUMN(NAS1352First[Thread Size]),FALSE)</f>
        <v>1⁄4-20 or 0.2500-20 UNC CLASS 3</v>
      </c>
      <c r="E67" s="8" cm="1">
        <f t="array" ref="E67">VLOOKUP($B67,NAS1352First[],COLUMN(NAS1352First[Body Diameter Max]),FALSE)</f>
        <v>0.25</v>
      </c>
      <c r="F67" s="8" cm="1">
        <f t="array" ref="F67">VLOOKUP($B67,NAS1352First[],COLUMN(NAS1352First[Body Diameter Max2]),FALSE)</f>
        <v>0.24349999999999999</v>
      </c>
      <c r="G67" s="8" cm="1">
        <f t="array" ref="G67">VLOOKUP($B67,NAS1352First[],COLUMN(NAS1352First[Head Diameter Max]),FALSE)</f>
        <v>0.375</v>
      </c>
      <c r="H67" s="8" cm="1">
        <f t="array" ref="H67">VLOOKUP($B67,NAS1352First[],COLUMN(NAS1352First[Head Diameter Min]),FALSE)</f>
        <v>0.36499999999999999</v>
      </c>
      <c r="I67" s="8" cm="1">
        <f t="array" ref="I67">VLOOKUP($B67,NAS1352First[],COLUMN(NAS1352First[Head Height Max]),FALSE)</f>
        <v>0.25</v>
      </c>
      <c r="J67" s="8" cm="1">
        <f t="array" ref="J67">VLOOKUP($B67,NAS1352First[],COLUMN(NAS1352First[Head Height Min]),FALSE)</f>
        <v>0.24399999999999999</v>
      </c>
      <c r="K67" s="8" cm="1">
        <f t="array" ref="K67">VLOOKUP($B67,NAS1352First[],COLUMN(NAS1352First[Head Side Height Min]),FALSE)</f>
        <v>0.22500000000000001</v>
      </c>
      <c r="L67" s="8" cm="1">
        <f t="array" ref="L67">VLOOKUP($B67,NAS1352First[],COLUMN(NAS1352First[Nominal Socket Size]),FALSE)</f>
        <v>0.188</v>
      </c>
      <c r="M67" s="8" cm="1">
        <f t="array" ref="M67">VLOOKUP($B67,NAS1352First[],COLUMN(NAS1352First[Key Engagement Min]),FALSE)</f>
        <v>0.12</v>
      </c>
      <c r="N67" s="8" cm="1">
        <f t="array" ref="N67">VLOOKUP($B67,NAS1352First[],COLUMN(NAS1352First[Wall Thickness Min]),FALSE)</f>
        <v>9.5000000000000001E-2</v>
      </c>
      <c r="O67" s="8" cm="1">
        <f t="array" ref="O67">VLOOKUP($B67,NAS1352First[],COLUMN(NAS1352First[Chamfer or Radius Max]),FALSE)</f>
        <v>8.0000000000000002E-3</v>
      </c>
      <c r="P67" s="8" cm="1">
        <f t="array" ref="P67">VLOOKUP($B67,NAS1352First[],COLUMN(NAS1352First[Minimum Basic Thread Length]),FALSE)</f>
        <v>1</v>
      </c>
      <c r="Q67" s="8" cm="1">
        <f t="array" ref="Q67">VLOOKUP($B67,NAS1352First[],COLUMN(NAS1352First[Drilled Hole Location Max]),FALSE)</f>
        <v>8.5000000000000006E-2</v>
      </c>
      <c r="R67" s="8" cm="1">
        <f t="array" ref="R67">VLOOKUP($B67,NAS1352First[],COLUMN(NAS1352First[Drilled Hole Location Min]),FALSE)</f>
        <v>6.5000000000000002E-2</v>
      </c>
      <c r="S67" s="8" cm="1">
        <f t="array" ref="S67">VLOOKUP($B67,NAS1352First[],COLUMN(NAS1352First[Drilled Hole Diameter Max]),FALSE)</f>
        <v>0.05</v>
      </c>
      <c r="T67" s="8" cm="1">
        <f t="array" ref="T67">VLOOKUP($B67,NAS1352First[],COLUMN(NAS1352First[Drilled Hole Diameter Min]),FALSE)</f>
        <v>4.3999999999999997E-2</v>
      </c>
      <c r="U67" s="8" cm="1">
        <f t="array" ref="U67">VLOOKUP($B67,NAS1352First[],COLUMN(NAS1352First[Alloy Steel Minimum Breaking Strength (lb)]),FALSE)</f>
        <v>5700</v>
      </c>
      <c r="V67" s="8" cm="1">
        <f t="array" ref="V67">VLOOKUP($B67,NAS1352First[],COLUMN(NAS1352First[Corrosion Resistant Steel Minimum Breaking Strength (lb)]),FALSE)</f>
        <v>2540</v>
      </c>
      <c r="W67" s="17" cm="1">
        <f t="array" ref="W67">VLOOKUP($B67,NAS1352First[],COLUMN(NAS1352First[Heat Resistant Steel Minimum Breaking Strength (lb)]),FALSE)</f>
        <v>5090</v>
      </c>
    </row>
    <row r="68" spans="1:23" x14ac:dyDescent="0.25">
      <c r="A68" s="15" t="s">
        <v>585</v>
      </c>
      <c r="B68" s="8" t="str">
        <f t="shared" si="1"/>
        <v>4</v>
      </c>
      <c r="C68" s="8">
        <f t="shared" si="2"/>
        <v>0.625</v>
      </c>
      <c r="D68" s="8" t="str" cm="1">
        <f t="array" ref="D68">VLOOKUP($B68,NAS1352First[],COLUMN(NAS1352First[Thread Size]),FALSE)</f>
        <v>1⁄4-20 or 0.2500-20 UNC CLASS 3</v>
      </c>
      <c r="E68" s="8" cm="1">
        <f t="array" ref="E68">VLOOKUP($B68,NAS1352First[],COLUMN(NAS1352First[Body Diameter Max]),FALSE)</f>
        <v>0.25</v>
      </c>
      <c r="F68" s="8" cm="1">
        <f t="array" ref="F68">VLOOKUP($B68,NAS1352First[],COLUMN(NAS1352First[Body Diameter Max2]),FALSE)</f>
        <v>0.24349999999999999</v>
      </c>
      <c r="G68" s="8" cm="1">
        <f t="array" ref="G68">VLOOKUP($B68,NAS1352First[],COLUMN(NAS1352First[Head Diameter Max]),FALSE)</f>
        <v>0.375</v>
      </c>
      <c r="H68" s="8" cm="1">
        <f t="array" ref="H68">VLOOKUP($B68,NAS1352First[],COLUMN(NAS1352First[Head Diameter Min]),FALSE)</f>
        <v>0.36499999999999999</v>
      </c>
      <c r="I68" s="8" cm="1">
        <f t="array" ref="I68">VLOOKUP($B68,NAS1352First[],COLUMN(NAS1352First[Head Height Max]),FALSE)</f>
        <v>0.25</v>
      </c>
      <c r="J68" s="8" cm="1">
        <f t="array" ref="J68">VLOOKUP($B68,NAS1352First[],COLUMN(NAS1352First[Head Height Min]),FALSE)</f>
        <v>0.24399999999999999</v>
      </c>
      <c r="K68" s="8" cm="1">
        <f t="array" ref="K68">VLOOKUP($B68,NAS1352First[],COLUMN(NAS1352First[Head Side Height Min]),FALSE)</f>
        <v>0.22500000000000001</v>
      </c>
      <c r="L68" s="8" cm="1">
        <f t="array" ref="L68">VLOOKUP($B68,NAS1352First[],COLUMN(NAS1352First[Nominal Socket Size]),FALSE)</f>
        <v>0.188</v>
      </c>
      <c r="M68" s="8" cm="1">
        <f t="array" ref="M68">VLOOKUP($B68,NAS1352First[],COLUMN(NAS1352First[Key Engagement Min]),FALSE)</f>
        <v>0.12</v>
      </c>
      <c r="N68" s="8" cm="1">
        <f t="array" ref="N68">VLOOKUP($B68,NAS1352First[],COLUMN(NAS1352First[Wall Thickness Min]),FALSE)</f>
        <v>9.5000000000000001E-2</v>
      </c>
      <c r="O68" s="8" cm="1">
        <f t="array" ref="O68">VLOOKUP($B68,NAS1352First[],COLUMN(NAS1352First[Chamfer or Radius Max]),FALSE)</f>
        <v>8.0000000000000002E-3</v>
      </c>
      <c r="P68" s="8" cm="1">
        <f t="array" ref="P68">VLOOKUP($B68,NAS1352First[],COLUMN(NAS1352First[Minimum Basic Thread Length]),FALSE)</f>
        <v>1</v>
      </c>
      <c r="Q68" s="8" cm="1">
        <f t="array" ref="Q68">VLOOKUP($B68,NAS1352First[],COLUMN(NAS1352First[Drilled Hole Location Max]),FALSE)</f>
        <v>8.5000000000000006E-2</v>
      </c>
      <c r="R68" s="8" cm="1">
        <f t="array" ref="R68">VLOOKUP($B68,NAS1352First[],COLUMN(NAS1352First[Drilled Hole Location Min]),FALSE)</f>
        <v>6.5000000000000002E-2</v>
      </c>
      <c r="S68" s="8" cm="1">
        <f t="array" ref="S68">VLOOKUP($B68,NAS1352First[],COLUMN(NAS1352First[Drilled Hole Diameter Max]),FALSE)</f>
        <v>0.05</v>
      </c>
      <c r="T68" s="8" cm="1">
        <f t="array" ref="T68">VLOOKUP($B68,NAS1352First[],COLUMN(NAS1352First[Drilled Hole Diameter Min]),FALSE)</f>
        <v>4.3999999999999997E-2</v>
      </c>
      <c r="U68" s="8" cm="1">
        <f t="array" ref="U68">VLOOKUP($B68,NAS1352First[],COLUMN(NAS1352First[Alloy Steel Minimum Breaking Strength (lb)]),FALSE)</f>
        <v>5700</v>
      </c>
      <c r="V68" s="8" cm="1">
        <f t="array" ref="V68">VLOOKUP($B68,NAS1352First[],COLUMN(NAS1352First[Corrosion Resistant Steel Minimum Breaking Strength (lb)]),FALSE)</f>
        <v>2540</v>
      </c>
      <c r="W68" s="17" cm="1">
        <f t="array" ref="W68">VLOOKUP($B68,NAS1352First[],COLUMN(NAS1352First[Heat Resistant Steel Minimum Breaking Strength (lb)]),FALSE)</f>
        <v>5090</v>
      </c>
    </row>
    <row r="69" spans="1:23" x14ac:dyDescent="0.25">
      <c r="A69" s="15" t="s">
        <v>586</v>
      </c>
      <c r="B69" s="8" t="str">
        <f t="shared" si="1"/>
        <v>4</v>
      </c>
      <c r="C69" s="8">
        <f t="shared" si="2"/>
        <v>0.75</v>
      </c>
      <c r="D69" s="8" t="str" cm="1">
        <f t="array" ref="D69">VLOOKUP($B69,NAS1352First[],COLUMN(NAS1352First[Thread Size]),FALSE)</f>
        <v>1⁄4-20 or 0.2500-20 UNC CLASS 3</v>
      </c>
      <c r="E69" s="8" cm="1">
        <f t="array" ref="E69">VLOOKUP($B69,NAS1352First[],COLUMN(NAS1352First[Body Diameter Max]),FALSE)</f>
        <v>0.25</v>
      </c>
      <c r="F69" s="8" cm="1">
        <f t="array" ref="F69">VLOOKUP($B69,NAS1352First[],COLUMN(NAS1352First[Body Diameter Max2]),FALSE)</f>
        <v>0.24349999999999999</v>
      </c>
      <c r="G69" s="8" cm="1">
        <f t="array" ref="G69">VLOOKUP($B69,NAS1352First[],COLUMN(NAS1352First[Head Diameter Max]),FALSE)</f>
        <v>0.375</v>
      </c>
      <c r="H69" s="8" cm="1">
        <f t="array" ref="H69">VLOOKUP($B69,NAS1352First[],COLUMN(NAS1352First[Head Diameter Min]),FALSE)</f>
        <v>0.36499999999999999</v>
      </c>
      <c r="I69" s="8" cm="1">
        <f t="array" ref="I69">VLOOKUP($B69,NAS1352First[],COLUMN(NAS1352First[Head Height Max]),FALSE)</f>
        <v>0.25</v>
      </c>
      <c r="J69" s="8" cm="1">
        <f t="array" ref="J69">VLOOKUP($B69,NAS1352First[],COLUMN(NAS1352First[Head Height Min]),FALSE)</f>
        <v>0.24399999999999999</v>
      </c>
      <c r="K69" s="8" cm="1">
        <f t="array" ref="K69">VLOOKUP($B69,NAS1352First[],COLUMN(NAS1352First[Head Side Height Min]),FALSE)</f>
        <v>0.22500000000000001</v>
      </c>
      <c r="L69" s="8" cm="1">
        <f t="array" ref="L69">VLOOKUP($B69,NAS1352First[],COLUMN(NAS1352First[Nominal Socket Size]),FALSE)</f>
        <v>0.188</v>
      </c>
      <c r="M69" s="8" cm="1">
        <f t="array" ref="M69">VLOOKUP($B69,NAS1352First[],COLUMN(NAS1352First[Key Engagement Min]),FALSE)</f>
        <v>0.12</v>
      </c>
      <c r="N69" s="8" cm="1">
        <f t="array" ref="N69">VLOOKUP($B69,NAS1352First[],COLUMN(NAS1352First[Wall Thickness Min]),FALSE)</f>
        <v>9.5000000000000001E-2</v>
      </c>
      <c r="O69" s="8" cm="1">
        <f t="array" ref="O69">VLOOKUP($B69,NAS1352First[],COLUMN(NAS1352First[Chamfer or Radius Max]),FALSE)</f>
        <v>8.0000000000000002E-3</v>
      </c>
      <c r="P69" s="8" cm="1">
        <f t="array" ref="P69">VLOOKUP($B69,NAS1352First[],COLUMN(NAS1352First[Minimum Basic Thread Length]),FALSE)</f>
        <v>1</v>
      </c>
      <c r="Q69" s="8" cm="1">
        <f t="array" ref="Q69">VLOOKUP($B69,NAS1352First[],COLUMN(NAS1352First[Drilled Hole Location Max]),FALSE)</f>
        <v>8.5000000000000006E-2</v>
      </c>
      <c r="R69" s="8" cm="1">
        <f t="array" ref="R69">VLOOKUP($B69,NAS1352First[],COLUMN(NAS1352First[Drilled Hole Location Min]),FALSE)</f>
        <v>6.5000000000000002E-2</v>
      </c>
      <c r="S69" s="8" cm="1">
        <f t="array" ref="S69">VLOOKUP($B69,NAS1352First[],COLUMN(NAS1352First[Drilled Hole Diameter Max]),FALSE)</f>
        <v>0.05</v>
      </c>
      <c r="T69" s="8" cm="1">
        <f t="array" ref="T69">VLOOKUP($B69,NAS1352First[],COLUMN(NAS1352First[Drilled Hole Diameter Min]),FALSE)</f>
        <v>4.3999999999999997E-2</v>
      </c>
      <c r="U69" s="8" cm="1">
        <f t="array" ref="U69">VLOOKUP($B69,NAS1352First[],COLUMN(NAS1352First[Alloy Steel Minimum Breaking Strength (lb)]),FALSE)</f>
        <v>5700</v>
      </c>
      <c r="V69" s="8" cm="1">
        <f t="array" ref="V69">VLOOKUP($B69,NAS1352First[],COLUMN(NAS1352First[Corrosion Resistant Steel Minimum Breaking Strength (lb)]),FALSE)</f>
        <v>2540</v>
      </c>
      <c r="W69" s="17" cm="1">
        <f t="array" ref="W69">VLOOKUP($B69,NAS1352First[],COLUMN(NAS1352First[Heat Resistant Steel Minimum Breaking Strength (lb)]),FALSE)</f>
        <v>5090</v>
      </c>
    </row>
    <row r="70" spans="1:23" x14ac:dyDescent="0.25">
      <c r="A70" s="15" t="s">
        <v>587</v>
      </c>
      <c r="B70" s="8" t="str">
        <f t="shared" si="1"/>
        <v>4</v>
      </c>
      <c r="C70" s="8">
        <f t="shared" si="2"/>
        <v>0.875</v>
      </c>
      <c r="D70" s="8" t="str" cm="1">
        <f t="array" ref="D70">VLOOKUP($B70,NAS1352First[],COLUMN(NAS1352First[Thread Size]),FALSE)</f>
        <v>1⁄4-20 or 0.2500-20 UNC CLASS 3</v>
      </c>
      <c r="E70" s="8" cm="1">
        <f t="array" ref="E70">VLOOKUP($B70,NAS1352First[],COLUMN(NAS1352First[Body Diameter Max]),FALSE)</f>
        <v>0.25</v>
      </c>
      <c r="F70" s="8" cm="1">
        <f t="array" ref="F70">VLOOKUP($B70,NAS1352First[],COLUMN(NAS1352First[Body Diameter Max2]),FALSE)</f>
        <v>0.24349999999999999</v>
      </c>
      <c r="G70" s="8" cm="1">
        <f t="array" ref="G70">VLOOKUP($B70,NAS1352First[],COLUMN(NAS1352First[Head Diameter Max]),FALSE)</f>
        <v>0.375</v>
      </c>
      <c r="H70" s="8" cm="1">
        <f t="array" ref="H70">VLOOKUP($B70,NAS1352First[],COLUMN(NAS1352First[Head Diameter Min]),FALSE)</f>
        <v>0.36499999999999999</v>
      </c>
      <c r="I70" s="8" cm="1">
        <f t="array" ref="I70">VLOOKUP($B70,NAS1352First[],COLUMN(NAS1352First[Head Height Max]),FALSE)</f>
        <v>0.25</v>
      </c>
      <c r="J70" s="8" cm="1">
        <f t="array" ref="J70">VLOOKUP($B70,NAS1352First[],COLUMN(NAS1352First[Head Height Min]),FALSE)</f>
        <v>0.24399999999999999</v>
      </c>
      <c r="K70" s="8" cm="1">
        <f t="array" ref="K70">VLOOKUP($B70,NAS1352First[],COLUMN(NAS1352First[Head Side Height Min]),FALSE)</f>
        <v>0.22500000000000001</v>
      </c>
      <c r="L70" s="8" cm="1">
        <f t="array" ref="L70">VLOOKUP($B70,NAS1352First[],COLUMN(NAS1352First[Nominal Socket Size]),FALSE)</f>
        <v>0.188</v>
      </c>
      <c r="M70" s="8" cm="1">
        <f t="array" ref="M70">VLOOKUP($B70,NAS1352First[],COLUMN(NAS1352First[Key Engagement Min]),FALSE)</f>
        <v>0.12</v>
      </c>
      <c r="N70" s="8" cm="1">
        <f t="array" ref="N70">VLOOKUP($B70,NAS1352First[],COLUMN(NAS1352First[Wall Thickness Min]),FALSE)</f>
        <v>9.5000000000000001E-2</v>
      </c>
      <c r="O70" s="8" cm="1">
        <f t="array" ref="O70">VLOOKUP($B70,NAS1352First[],COLUMN(NAS1352First[Chamfer or Radius Max]),FALSE)</f>
        <v>8.0000000000000002E-3</v>
      </c>
      <c r="P70" s="8" cm="1">
        <f t="array" ref="P70">VLOOKUP($B70,NAS1352First[],COLUMN(NAS1352First[Minimum Basic Thread Length]),FALSE)</f>
        <v>1</v>
      </c>
      <c r="Q70" s="8" cm="1">
        <f t="array" ref="Q70">VLOOKUP($B70,NAS1352First[],COLUMN(NAS1352First[Drilled Hole Location Max]),FALSE)</f>
        <v>8.5000000000000006E-2</v>
      </c>
      <c r="R70" s="8" cm="1">
        <f t="array" ref="R70">VLOOKUP($B70,NAS1352First[],COLUMN(NAS1352First[Drilled Hole Location Min]),FALSE)</f>
        <v>6.5000000000000002E-2</v>
      </c>
      <c r="S70" s="8" cm="1">
        <f t="array" ref="S70">VLOOKUP($B70,NAS1352First[],COLUMN(NAS1352First[Drilled Hole Diameter Max]),FALSE)</f>
        <v>0.05</v>
      </c>
      <c r="T70" s="8" cm="1">
        <f t="array" ref="T70">VLOOKUP($B70,NAS1352First[],COLUMN(NAS1352First[Drilled Hole Diameter Min]),FALSE)</f>
        <v>4.3999999999999997E-2</v>
      </c>
      <c r="U70" s="8" cm="1">
        <f t="array" ref="U70">VLOOKUP($B70,NAS1352First[],COLUMN(NAS1352First[Alloy Steel Minimum Breaking Strength (lb)]),FALSE)</f>
        <v>5700</v>
      </c>
      <c r="V70" s="8" cm="1">
        <f t="array" ref="V70">VLOOKUP($B70,NAS1352First[],COLUMN(NAS1352First[Corrosion Resistant Steel Minimum Breaking Strength (lb)]),FALSE)</f>
        <v>2540</v>
      </c>
      <c r="W70" s="17" cm="1">
        <f t="array" ref="W70">VLOOKUP($B70,NAS1352First[],COLUMN(NAS1352First[Heat Resistant Steel Minimum Breaking Strength (lb)]),FALSE)</f>
        <v>5090</v>
      </c>
    </row>
    <row r="71" spans="1:23" x14ac:dyDescent="0.25">
      <c r="A71" s="15" t="s">
        <v>588</v>
      </c>
      <c r="B71" s="8" t="str">
        <f t="shared" si="1"/>
        <v>4</v>
      </c>
      <c r="C71" s="8">
        <f t="shared" si="2"/>
        <v>1</v>
      </c>
      <c r="D71" s="8" t="str" cm="1">
        <f t="array" ref="D71">VLOOKUP($B71,NAS1352First[],COLUMN(NAS1352First[Thread Size]),FALSE)</f>
        <v>1⁄4-20 or 0.2500-20 UNC CLASS 3</v>
      </c>
      <c r="E71" s="8" cm="1">
        <f t="array" ref="E71">VLOOKUP($B71,NAS1352First[],COLUMN(NAS1352First[Body Diameter Max]),FALSE)</f>
        <v>0.25</v>
      </c>
      <c r="F71" s="8" cm="1">
        <f t="array" ref="F71">VLOOKUP($B71,NAS1352First[],COLUMN(NAS1352First[Body Diameter Max2]),FALSE)</f>
        <v>0.24349999999999999</v>
      </c>
      <c r="G71" s="8" cm="1">
        <f t="array" ref="G71">VLOOKUP($B71,NAS1352First[],COLUMN(NAS1352First[Head Diameter Max]),FALSE)</f>
        <v>0.375</v>
      </c>
      <c r="H71" s="8" cm="1">
        <f t="array" ref="H71">VLOOKUP($B71,NAS1352First[],COLUMN(NAS1352First[Head Diameter Min]),FALSE)</f>
        <v>0.36499999999999999</v>
      </c>
      <c r="I71" s="8" cm="1">
        <f t="array" ref="I71">VLOOKUP($B71,NAS1352First[],COLUMN(NAS1352First[Head Height Max]),FALSE)</f>
        <v>0.25</v>
      </c>
      <c r="J71" s="8" cm="1">
        <f t="array" ref="J71">VLOOKUP($B71,NAS1352First[],COLUMN(NAS1352First[Head Height Min]),FALSE)</f>
        <v>0.24399999999999999</v>
      </c>
      <c r="K71" s="8" cm="1">
        <f t="array" ref="K71">VLOOKUP($B71,NAS1352First[],COLUMN(NAS1352First[Head Side Height Min]),FALSE)</f>
        <v>0.22500000000000001</v>
      </c>
      <c r="L71" s="8" cm="1">
        <f t="array" ref="L71">VLOOKUP($B71,NAS1352First[],COLUMN(NAS1352First[Nominal Socket Size]),FALSE)</f>
        <v>0.188</v>
      </c>
      <c r="M71" s="8" cm="1">
        <f t="array" ref="M71">VLOOKUP($B71,NAS1352First[],COLUMN(NAS1352First[Key Engagement Min]),FALSE)</f>
        <v>0.12</v>
      </c>
      <c r="N71" s="8" cm="1">
        <f t="array" ref="N71">VLOOKUP($B71,NAS1352First[],COLUMN(NAS1352First[Wall Thickness Min]),FALSE)</f>
        <v>9.5000000000000001E-2</v>
      </c>
      <c r="O71" s="8" cm="1">
        <f t="array" ref="O71">VLOOKUP($B71,NAS1352First[],COLUMN(NAS1352First[Chamfer or Radius Max]),FALSE)</f>
        <v>8.0000000000000002E-3</v>
      </c>
      <c r="P71" s="8" cm="1">
        <f t="array" ref="P71">VLOOKUP($B71,NAS1352First[],COLUMN(NAS1352First[Minimum Basic Thread Length]),FALSE)</f>
        <v>1</v>
      </c>
      <c r="Q71" s="8" cm="1">
        <f t="array" ref="Q71">VLOOKUP($B71,NAS1352First[],COLUMN(NAS1352First[Drilled Hole Location Max]),FALSE)</f>
        <v>8.5000000000000006E-2</v>
      </c>
      <c r="R71" s="8" cm="1">
        <f t="array" ref="R71">VLOOKUP($B71,NAS1352First[],COLUMN(NAS1352First[Drilled Hole Location Min]),FALSE)</f>
        <v>6.5000000000000002E-2</v>
      </c>
      <c r="S71" s="8" cm="1">
        <f t="array" ref="S71">VLOOKUP($B71,NAS1352First[],COLUMN(NAS1352First[Drilled Hole Diameter Max]),FALSE)</f>
        <v>0.05</v>
      </c>
      <c r="T71" s="8" cm="1">
        <f t="array" ref="T71">VLOOKUP($B71,NAS1352First[],COLUMN(NAS1352First[Drilled Hole Diameter Min]),FALSE)</f>
        <v>4.3999999999999997E-2</v>
      </c>
      <c r="U71" s="8" cm="1">
        <f t="array" ref="U71">VLOOKUP($B71,NAS1352First[],COLUMN(NAS1352First[Alloy Steel Minimum Breaking Strength (lb)]),FALSE)</f>
        <v>5700</v>
      </c>
      <c r="V71" s="8" cm="1">
        <f t="array" ref="V71">VLOOKUP($B71,NAS1352First[],COLUMN(NAS1352First[Corrosion Resistant Steel Minimum Breaking Strength (lb)]),FALSE)</f>
        <v>2540</v>
      </c>
      <c r="W71" s="17" cm="1">
        <f t="array" ref="W71">VLOOKUP($B71,NAS1352First[],COLUMN(NAS1352First[Heat Resistant Steel Minimum Breaking Strength (lb)]),FALSE)</f>
        <v>5090</v>
      </c>
    </row>
    <row r="72" spans="1:23" x14ac:dyDescent="0.25">
      <c r="A72" s="15" t="s">
        <v>589</v>
      </c>
      <c r="B72" s="8" t="str">
        <f t="shared" si="1"/>
        <v>4</v>
      </c>
      <c r="C72" s="8">
        <f t="shared" si="2"/>
        <v>1.25</v>
      </c>
      <c r="D72" s="8" t="str" cm="1">
        <f t="array" ref="D72">VLOOKUP($B72,NAS1352First[],COLUMN(NAS1352First[Thread Size]),FALSE)</f>
        <v>1⁄4-20 or 0.2500-20 UNC CLASS 3</v>
      </c>
      <c r="E72" s="8" cm="1">
        <f t="array" ref="E72">VLOOKUP($B72,NAS1352First[],COLUMN(NAS1352First[Body Diameter Max]),FALSE)</f>
        <v>0.25</v>
      </c>
      <c r="F72" s="8" cm="1">
        <f t="array" ref="F72">VLOOKUP($B72,NAS1352First[],COLUMN(NAS1352First[Body Diameter Max2]),FALSE)</f>
        <v>0.24349999999999999</v>
      </c>
      <c r="G72" s="8" cm="1">
        <f t="array" ref="G72">VLOOKUP($B72,NAS1352First[],COLUMN(NAS1352First[Head Diameter Max]),FALSE)</f>
        <v>0.375</v>
      </c>
      <c r="H72" s="8" cm="1">
        <f t="array" ref="H72">VLOOKUP($B72,NAS1352First[],COLUMN(NAS1352First[Head Diameter Min]),FALSE)</f>
        <v>0.36499999999999999</v>
      </c>
      <c r="I72" s="8" cm="1">
        <f t="array" ref="I72">VLOOKUP($B72,NAS1352First[],COLUMN(NAS1352First[Head Height Max]),FALSE)</f>
        <v>0.25</v>
      </c>
      <c r="J72" s="8" cm="1">
        <f t="array" ref="J72">VLOOKUP($B72,NAS1352First[],COLUMN(NAS1352First[Head Height Min]),FALSE)</f>
        <v>0.24399999999999999</v>
      </c>
      <c r="K72" s="8" cm="1">
        <f t="array" ref="K72">VLOOKUP($B72,NAS1352First[],COLUMN(NAS1352First[Head Side Height Min]),FALSE)</f>
        <v>0.22500000000000001</v>
      </c>
      <c r="L72" s="8" cm="1">
        <f t="array" ref="L72">VLOOKUP($B72,NAS1352First[],COLUMN(NAS1352First[Nominal Socket Size]),FALSE)</f>
        <v>0.188</v>
      </c>
      <c r="M72" s="8" cm="1">
        <f t="array" ref="M72">VLOOKUP($B72,NAS1352First[],COLUMN(NAS1352First[Key Engagement Min]),FALSE)</f>
        <v>0.12</v>
      </c>
      <c r="N72" s="8" cm="1">
        <f t="array" ref="N72">VLOOKUP($B72,NAS1352First[],COLUMN(NAS1352First[Wall Thickness Min]),FALSE)</f>
        <v>9.5000000000000001E-2</v>
      </c>
      <c r="O72" s="8" cm="1">
        <f t="array" ref="O72">VLOOKUP($B72,NAS1352First[],COLUMN(NAS1352First[Chamfer or Radius Max]),FALSE)</f>
        <v>8.0000000000000002E-3</v>
      </c>
      <c r="P72" s="8" cm="1">
        <f t="array" ref="P72">VLOOKUP($B72,NAS1352First[],COLUMN(NAS1352First[Minimum Basic Thread Length]),FALSE)</f>
        <v>1</v>
      </c>
      <c r="Q72" s="8" cm="1">
        <f t="array" ref="Q72">VLOOKUP($B72,NAS1352First[],COLUMN(NAS1352First[Drilled Hole Location Max]),FALSE)</f>
        <v>8.5000000000000006E-2</v>
      </c>
      <c r="R72" s="8" cm="1">
        <f t="array" ref="R72">VLOOKUP($B72,NAS1352First[],COLUMN(NAS1352First[Drilled Hole Location Min]),FALSE)</f>
        <v>6.5000000000000002E-2</v>
      </c>
      <c r="S72" s="8" cm="1">
        <f t="array" ref="S72">VLOOKUP($B72,NAS1352First[],COLUMN(NAS1352First[Drilled Hole Diameter Max]),FALSE)</f>
        <v>0.05</v>
      </c>
      <c r="T72" s="8" cm="1">
        <f t="array" ref="T72">VLOOKUP($B72,NAS1352First[],COLUMN(NAS1352First[Drilled Hole Diameter Min]),FALSE)</f>
        <v>4.3999999999999997E-2</v>
      </c>
      <c r="U72" s="8" cm="1">
        <f t="array" ref="U72">VLOOKUP($B72,NAS1352First[],COLUMN(NAS1352First[Alloy Steel Minimum Breaking Strength (lb)]),FALSE)</f>
        <v>5700</v>
      </c>
      <c r="V72" s="8" cm="1">
        <f t="array" ref="V72">VLOOKUP($B72,NAS1352First[],COLUMN(NAS1352First[Corrosion Resistant Steel Minimum Breaking Strength (lb)]),FALSE)</f>
        <v>2540</v>
      </c>
      <c r="W72" s="17" cm="1">
        <f t="array" ref="W72">VLOOKUP($B72,NAS1352First[],COLUMN(NAS1352First[Heat Resistant Steel Minimum Breaking Strength (lb)]),FALSE)</f>
        <v>5090</v>
      </c>
    </row>
    <row r="73" spans="1:23" x14ac:dyDescent="0.25">
      <c r="A73" s="15" t="s">
        <v>590</v>
      </c>
      <c r="B73" s="8" t="str">
        <f t="shared" si="1"/>
        <v>4</v>
      </c>
      <c r="C73" s="8">
        <f t="shared" si="2"/>
        <v>1.5</v>
      </c>
      <c r="D73" s="8" t="str" cm="1">
        <f t="array" ref="D73">VLOOKUP($B73,NAS1352First[],COLUMN(NAS1352First[Thread Size]),FALSE)</f>
        <v>1⁄4-20 or 0.2500-20 UNC CLASS 3</v>
      </c>
      <c r="E73" s="8" cm="1">
        <f t="array" ref="E73">VLOOKUP($B73,NAS1352First[],COLUMN(NAS1352First[Body Diameter Max]),FALSE)</f>
        <v>0.25</v>
      </c>
      <c r="F73" s="8" cm="1">
        <f t="array" ref="F73">VLOOKUP($B73,NAS1352First[],COLUMN(NAS1352First[Body Diameter Max2]),FALSE)</f>
        <v>0.24349999999999999</v>
      </c>
      <c r="G73" s="8" cm="1">
        <f t="array" ref="G73">VLOOKUP($B73,NAS1352First[],COLUMN(NAS1352First[Head Diameter Max]),FALSE)</f>
        <v>0.375</v>
      </c>
      <c r="H73" s="8" cm="1">
        <f t="array" ref="H73">VLOOKUP($B73,NAS1352First[],COLUMN(NAS1352First[Head Diameter Min]),FALSE)</f>
        <v>0.36499999999999999</v>
      </c>
      <c r="I73" s="8" cm="1">
        <f t="array" ref="I73">VLOOKUP($B73,NAS1352First[],COLUMN(NAS1352First[Head Height Max]),FALSE)</f>
        <v>0.25</v>
      </c>
      <c r="J73" s="8" cm="1">
        <f t="array" ref="J73">VLOOKUP($B73,NAS1352First[],COLUMN(NAS1352First[Head Height Min]),FALSE)</f>
        <v>0.24399999999999999</v>
      </c>
      <c r="K73" s="8" cm="1">
        <f t="array" ref="K73">VLOOKUP($B73,NAS1352First[],COLUMN(NAS1352First[Head Side Height Min]),FALSE)</f>
        <v>0.22500000000000001</v>
      </c>
      <c r="L73" s="8" cm="1">
        <f t="array" ref="L73">VLOOKUP($B73,NAS1352First[],COLUMN(NAS1352First[Nominal Socket Size]),FALSE)</f>
        <v>0.188</v>
      </c>
      <c r="M73" s="8" cm="1">
        <f t="array" ref="M73">VLOOKUP($B73,NAS1352First[],COLUMN(NAS1352First[Key Engagement Min]),FALSE)</f>
        <v>0.12</v>
      </c>
      <c r="N73" s="8" cm="1">
        <f t="array" ref="N73">VLOOKUP($B73,NAS1352First[],COLUMN(NAS1352First[Wall Thickness Min]),FALSE)</f>
        <v>9.5000000000000001E-2</v>
      </c>
      <c r="O73" s="8" cm="1">
        <f t="array" ref="O73">VLOOKUP($B73,NAS1352First[],COLUMN(NAS1352First[Chamfer or Radius Max]),FALSE)</f>
        <v>8.0000000000000002E-3</v>
      </c>
      <c r="P73" s="8" cm="1">
        <f t="array" ref="P73">VLOOKUP($B73,NAS1352First[],COLUMN(NAS1352First[Minimum Basic Thread Length]),FALSE)</f>
        <v>1</v>
      </c>
      <c r="Q73" s="8" cm="1">
        <f t="array" ref="Q73">VLOOKUP($B73,NAS1352First[],COLUMN(NAS1352First[Drilled Hole Location Max]),FALSE)</f>
        <v>8.5000000000000006E-2</v>
      </c>
      <c r="R73" s="8" cm="1">
        <f t="array" ref="R73">VLOOKUP($B73,NAS1352First[],COLUMN(NAS1352First[Drilled Hole Location Min]),FALSE)</f>
        <v>6.5000000000000002E-2</v>
      </c>
      <c r="S73" s="8" cm="1">
        <f t="array" ref="S73">VLOOKUP($B73,NAS1352First[],COLUMN(NAS1352First[Drilled Hole Diameter Max]),FALSE)</f>
        <v>0.05</v>
      </c>
      <c r="T73" s="8" cm="1">
        <f t="array" ref="T73">VLOOKUP($B73,NAS1352First[],COLUMN(NAS1352First[Drilled Hole Diameter Min]),FALSE)</f>
        <v>4.3999999999999997E-2</v>
      </c>
      <c r="U73" s="8" cm="1">
        <f t="array" ref="U73">VLOOKUP($B73,NAS1352First[],COLUMN(NAS1352First[Alloy Steel Minimum Breaking Strength (lb)]),FALSE)</f>
        <v>5700</v>
      </c>
      <c r="V73" s="8" cm="1">
        <f t="array" ref="V73">VLOOKUP($B73,NAS1352First[],COLUMN(NAS1352First[Corrosion Resistant Steel Minimum Breaking Strength (lb)]),FALSE)</f>
        <v>2540</v>
      </c>
      <c r="W73" s="17" cm="1">
        <f t="array" ref="W73">VLOOKUP($B73,NAS1352First[],COLUMN(NAS1352First[Heat Resistant Steel Minimum Breaking Strength (lb)]),FALSE)</f>
        <v>5090</v>
      </c>
    </row>
    <row r="74" spans="1:23" x14ac:dyDescent="0.25">
      <c r="A74" s="15" t="s">
        <v>591</v>
      </c>
      <c r="B74" s="8" t="str">
        <f t="shared" si="1"/>
        <v>4</v>
      </c>
      <c r="C74" s="8">
        <f t="shared" si="2"/>
        <v>1.75</v>
      </c>
      <c r="D74" s="8" t="str" cm="1">
        <f t="array" ref="D74">VLOOKUP($B74,NAS1352First[],COLUMN(NAS1352First[Thread Size]),FALSE)</f>
        <v>1⁄4-20 or 0.2500-20 UNC CLASS 3</v>
      </c>
      <c r="E74" s="8" cm="1">
        <f t="array" ref="E74">VLOOKUP($B74,NAS1352First[],COLUMN(NAS1352First[Body Diameter Max]),FALSE)</f>
        <v>0.25</v>
      </c>
      <c r="F74" s="8" cm="1">
        <f t="array" ref="F74">VLOOKUP($B74,NAS1352First[],COLUMN(NAS1352First[Body Diameter Max2]),FALSE)</f>
        <v>0.24349999999999999</v>
      </c>
      <c r="G74" s="8" cm="1">
        <f t="array" ref="G74">VLOOKUP($B74,NAS1352First[],COLUMN(NAS1352First[Head Diameter Max]),FALSE)</f>
        <v>0.375</v>
      </c>
      <c r="H74" s="8" cm="1">
        <f t="array" ref="H74">VLOOKUP($B74,NAS1352First[],COLUMN(NAS1352First[Head Diameter Min]),FALSE)</f>
        <v>0.36499999999999999</v>
      </c>
      <c r="I74" s="8" cm="1">
        <f t="array" ref="I74">VLOOKUP($B74,NAS1352First[],COLUMN(NAS1352First[Head Height Max]),FALSE)</f>
        <v>0.25</v>
      </c>
      <c r="J74" s="8" cm="1">
        <f t="array" ref="J74">VLOOKUP($B74,NAS1352First[],COLUMN(NAS1352First[Head Height Min]),FALSE)</f>
        <v>0.24399999999999999</v>
      </c>
      <c r="K74" s="8" cm="1">
        <f t="array" ref="K74">VLOOKUP($B74,NAS1352First[],COLUMN(NAS1352First[Head Side Height Min]),FALSE)</f>
        <v>0.22500000000000001</v>
      </c>
      <c r="L74" s="8" cm="1">
        <f t="array" ref="L74">VLOOKUP($B74,NAS1352First[],COLUMN(NAS1352First[Nominal Socket Size]),FALSE)</f>
        <v>0.188</v>
      </c>
      <c r="M74" s="8" cm="1">
        <f t="array" ref="M74">VLOOKUP($B74,NAS1352First[],COLUMN(NAS1352First[Key Engagement Min]),FALSE)</f>
        <v>0.12</v>
      </c>
      <c r="N74" s="8" cm="1">
        <f t="array" ref="N74">VLOOKUP($B74,NAS1352First[],COLUMN(NAS1352First[Wall Thickness Min]),FALSE)</f>
        <v>9.5000000000000001E-2</v>
      </c>
      <c r="O74" s="8" cm="1">
        <f t="array" ref="O74">VLOOKUP($B74,NAS1352First[],COLUMN(NAS1352First[Chamfer or Radius Max]),FALSE)</f>
        <v>8.0000000000000002E-3</v>
      </c>
      <c r="P74" s="8" cm="1">
        <f t="array" ref="P74">VLOOKUP($B74,NAS1352First[],COLUMN(NAS1352First[Minimum Basic Thread Length]),FALSE)</f>
        <v>1</v>
      </c>
      <c r="Q74" s="8" cm="1">
        <f t="array" ref="Q74">VLOOKUP($B74,NAS1352First[],COLUMN(NAS1352First[Drilled Hole Location Max]),FALSE)</f>
        <v>8.5000000000000006E-2</v>
      </c>
      <c r="R74" s="8" cm="1">
        <f t="array" ref="R74">VLOOKUP($B74,NAS1352First[],COLUMN(NAS1352First[Drilled Hole Location Min]),FALSE)</f>
        <v>6.5000000000000002E-2</v>
      </c>
      <c r="S74" s="8" cm="1">
        <f t="array" ref="S74">VLOOKUP($B74,NAS1352First[],COLUMN(NAS1352First[Drilled Hole Diameter Max]),FALSE)</f>
        <v>0.05</v>
      </c>
      <c r="T74" s="8" cm="1">
        <f t="array" ref="T74">VLOOKUP($B74,NAS1352First[],COLUMN(NAS1352First[Drilled Hole Diameter Min]),FALSE)</f>
        <v>4.3999999999999997E-2</v>
      </c>
      <c r="U74" s="8" cm="1">
        <f t="array" ref="U74">VLOOKUP($B74,NAS1352First[],COLUMN(NAS1352First[Alloy Steel Minimum Breaking Strength (lb)]),FALSE)</f>
        <v>5700</v>
      </c>
      <c r="V74" s="8" cm="1">
        <f t="array" ref="V74">VLOOKUP($B74,NAS1352First[],COLUMN(NAS1352First[Corrosion Resistant Steel Minimum Breaking Strength (lb)]),FALSE)</f>
        <v>2540</v>
      </c>
      <c r="W74" s="17" cm="1">
        <f t="array" ref="W74">VLOOKUP($B74,NAS1352First[],COLUMN(NAS1352First[Heat Resistant Steel Minimum Breaking Strength (lb)]),FALSE)</f>
        <v>5090</v>
      </c>
    </row>
    <row r="75" spans="1:23" x14ac:dyDescent="0.25">
      <c r="A75" s="15" t="s">
        <v>592</v>
      </c>
      <c r="B75" s="8" t="str">
        <f t="shared" si="1"/>
        <v>4</v>
      </c>
      <c r="C75" s="8">
        <f t="shared" si="2"/>
        <v>2</v>
      </c>
      <c r="D75" s="8" t="str" cm="1">
        <f t="array" ref="D75">VLOOKUP($B75,NAS1352First[],COLUMN(NAS1352First[Thread Size]),FALSE)</f>
        <v>1⁄4-20 or 0.2500-20 UNC CLASS 3</v>
      </c>
      <c r="E75" s="8" cm="1">
        <f t="array" ref="E75">VLOOKUP($B75,NAS1352First[],COLUMN(NAS1352First[Body Diameter Max]),FALSE)</f>
        <v>0.25</v>
      </c>
      <c r="F75" s="8" cm="1">
        <f t="array" ref="F75">VLOOKUP($B75,NAS1352First[],COLUMN(NAS1352First[Body Diameter Max2]),FALSE)</f>
        <v>0.24349999999999999</v>
      </c>
      <c r="G75" s="8" cm="1">
        <f t="array" ref="G75">VLOOKUP($B75,NAS1352First[],COLUMN(NAS1352First[Head Diameter Max]),FALSE)</f>
        <v>0.375</v>
      </c>
      <c r="H75" s="8" cm="1">
        <f t="array" ref="H75">VLOOKUP($B75,NAS1352First[],COLUMN(NAS1352First[Head Diameter Min]),FALSE)</f>
        <v>0.36499999999999999</v>
      </c>
      <c r="I75" s="8" cm="1">
        <f t="array" ref="I75">VLOOKUP($B75,NAS1352First[],COLUMN(NAS1352First[Head Height Max]),FALSE)</f>
        <v>0.25</v>
      </c>
      <c r="J75" s="8" cm="1">
        <f t="array" ref="J75">VLOOKUP($B75,NAS1352First[],COLUMN(NAS1352First[Head Height Min]),FALSE)</f>
        <v>0.24399999999999999</v>
      </c>
      <c r="K75" s="8" cm="1">
        <f t="array" ref="K75">VLOOKUP($B75,NAS1352First[],COLUMN(NAS1352First[Head Side Height Min]),FALSE)</f>
        <v>0.22500000000000001</v>
      </c>
      <c r="L75" s="8" cm="1">
        <f t="array" ref="L75">VLOOKUP($B75,NAS1352First[],COLUMN(NAS1352First[Nominal Socket Size]),FALSE)</f>
        <v>0.188</v>
      </c>
      <c r="M75" s="8" cm="1">
        <f t="array" ref="M75">VLOOKUP($B75,NAS1352First[],COLUMN(NAS1352First[Key Engagement Min]),FALSE)</f>
        <v>0.12</v>
      </c>
      <c r="N75" s="8" cm="1">
        <f t="array" ref="N75">VLOOKUP($B75,NAS1352First[],COLUMN(NAS1352First[Wall Thickness Min]),FALSE)</f>
        <v>9.5000000000000001E-2</v>
      </c>
      <c r="O75" s="8" cm="1">
        <f t="array" ref="O75">VLOOKUP($B75,NAS1352First[],COLUMN(NAS1352First[Chamfer or Radius Max]),FALSE)</f>
        <v>8.0000000000000002E-3</v>
      </c>
      <c r="P75" s="8" cm="1">
        <f t="array" ref="P75">VLOOKUP($B75,NAS1352First[],COLUMN(NAS1352First[Minimum Basic Thread Length]),FALSE)</f>
        <v>1</v>
      </c>
      <c r="Q75" s="8" cm="1">
        <f t="array" ref="Q75">VLOOKUP($B75,NAS1352First[],COLUMN(NAS1352First[Drilled Hole Location Max]),FALSE)</f>
        <v>8.5000000000000006E-2</v>
      </c>
      <c r="R75" s="8" cm="1">
        <f t="array" ref="R75">VLOOKUP($B75,NAS1352First[],COLUMN(NAS1352First[Drilled Hole Location Min]),FALSE)</f>
        <v>6.5000000000000002E-2</v>
      </c>
      <c r="S75" s="8" cm="1">
        <f t="array" ref="S75">VLOOKUP($B75,NAS1352First[],COLUMN(NAS1352First[Drilled Hole Diameter Max]),FALSE)</f>
        <v>0.05</v>
      </c>
      <c r="T75" s="8" cm="1">
        <f t="array" ref="T75">VLOOKUP($B75,NAS1352First[],COLUMN(NAS1352First[Drilled Hole Diameter Min]),FALSE)</f>
        <v>4.3999999999999997E-2</v>
      </c>
      <c r="U75" s="8" cm="1">
        <f t="array" ref="U75">VLOOKUP($B75,NAS1352First[],COLUMN(NAS1352First[Alloy Steel Minimum Breaking Strength (lb)]),FALSE)</f>
        <v>5700</v>
      </c>
      <c r="V75" s="8" cm="1">
        <f t="array" ref="V75">VLOOKUP($B75,NAS1352First[],COLUMN(NAS1352First[Corrosion Resistant Steel Minimum Breaking Strength (lb)]),FALSE)</f>
        <v>2540</v>
      </c>
      <c r="W75" s="17" cm="1">
        <f t="array" ref="W75">VLOOKUP($B75,NAS1352First[],COLUMN(NAS1352First[Heat Resistant Steel Minimum Breaking Strength (lb)]),FALSE)</f>
        <v>5090</v>
      </c>
    </row>
    <row r="76" spans="1:23" x14ac:dyDescent="0.25">
      <c r="A76" s="15" t="s">
        <v>593</v>
      </c>
      <c r="B76" s="8" t="str">
        <f t="shared" si="1"/>
        <v>4</v>
      </c>
      <c r="C76" s="8">
        <f t="shared" si="2"/>
        <v>2.25</v>
      </c>
      <c r="D76" s="8" t="str" cm="1">
        <f t="array" ref="D76">VLOOKUP($B76,NAS1352First[],COLUMN(NAS1352First[Thread Size]),FALSE)</f>
        <v>1⁄4-20 or 0.2500-20 UNC CLASS 3</v>
      </c>
      <c r="E76" s="8" cm="1">
        <f t="array" ref="E76">VLOOKUP($B76,NAS1352First[],COLUMN(NAS1352First[Body Diameter Max]),FALSE)</f>
        <v>0.25</v>
      </c>
      <c r="F76" s="8" cm="1">
        <f t="array" ref="F76">VLOOKUP($B76,NAS1352First[],COLUMN(NAS1352First[Body Diameter Max2]),FALSE)</f>
        <v>0.24349999999999999</v>
      </c>
      <c r="G76" s="8" cm="1">
        <f t="array" ref="G76">VLOOKUP($B76,NAS1352First[],COLUMN(NAS1352First[Head Diameter Max]),FALSE)</f>
        <v>0.375</v>
      </c>
      <c r="H76" s="8" cm="1">
        <f t="array" ref="H76">VLOOKUP($B76,NAS1352First[],COLUMN(NAS1352First[Head Diameter Min]),FALSE)</f>
        <v>0.36499999999999999</v>
      </c>
      <c r="I76" s="8" cm="1">
        <f t="array" ref="I76">VLOOKUP($B76,NAS1352First[],COLUMN(NAS1352First[Head Height Max]),FALSE)</f>
        <v>0.25</v>
      </c>
      <c r="J76" s="8" cm="1">
        <f t="array" ref="J76">VLOOKUP($B76,NAS1352First[],COLUMN(NAS1352First[Head Height Min]),FALSE)</f>
        <v>0.24399999999999999</v>
      </c>
      <c r="K76" s="8" cm="1">
        <f t="array" ref="K76">VLOOKUP($B76,NAS1352First[],COLUMN(NAS1352First[Head Side Height Min]),FALSE)</f>
        <v>0.22500000000000001</v>
      </c>
      <c r="L76" s="8" cm="1">
        <f t="array" ref="L76">VLOOKUP($B76,NAS1352First[],COLUMN(NAS1352First[Nominal Socket Size]),FALSE)</f>
        <v>0.188</v>
      </c>
      <c r="M76" s="8" cm="1">
        <f t="array" ref="M76">VLOOKUP($B76,NAS1352First[],COLUMN(NAS1352First[Key Engagement Min]),FALSE)</f>
        <v>0.12</v>
      </c>
      <c r="N76" s="8" cm="1">
        <f t="array" ref="N76">VLOOKUP($B76,NAS1352First[],COLUMN(NAS1352First[Wall Thickness Min]),FALSE)</f>
        <v>9.5000000000000001E-2</v>
      </c>
      <c r="O76" s="8" cm="1">
        <f t="array" ref="O76">VLOOKUP($B76,NAS1352First[],COLUMN(NAS1352First[Chamfer or Radius Max]),FALSE)</f>
        <v>8.0000000000000002E-3</v>
      </c>
      <c r="P76" s="8" cm="1">
        <f t="array" ref="P76">VLOOKUP($B76,NAS1352First[],COLUMN(NAS1352First[Minimum Basic Thread Length]),FALSE)</f>
        <v>1</v>
      </c>
      <c r="Q76" s="8" cm="1">
        <f t="array" ref="Q76">VLOOKUP($B76,NAS1352First[],COLUMN(NAS1352First[Drilled Hole Location Max]),FALSE)</f>
        <v>8.5000000000000006E-2</v>
      </c>
      <c r="R76" s="8" cm="1">
        <f t="array" ref="R76">VLOOKUP($B76,NAS1352First[],COLUMN(NAS1352First[Drilled Hole Location Min]),FALSE)</f>
        <v>6.5000000000000002E-2</v>
      </c>
      <c r="S76" s="8" cm="1">
        <f t="array" ref="S76">VLOOKUP($B76,NAS1352First[],COLUMN(NAS1352First[Drilled Hole Diameter Max]),FALSE)</f>
        <v>0.05</v>
      </c>
      <c r="T76" s="8" cm="1">
        <f t="array" ref="T76">VLOOKUP($B76,NAS1352First[],COLUMN(NAS1352First[Drilled Hole Diameter Min]),FALSE)</f>
        <v>4.3999999999999997E-2</v>
      </c>
      <c r="U76" s="8" cm="1">
        <f t="array" ref="U76">VLOOKUP($B76,NAS1352First[],COLUMN(NAS1352First[Alloy Steel Minimum Breaking Strength (lb)]),FALSE)</f>
        <v>5700</v>
      </c>
      <c r="V76" s="8" cm="1">
        <f t="array" ref="V76">VLOOKUP($B76,NAS1352First[],COLUMN(NAS1352First[Corrosion Resistant Steel Minimum Breaking Strength (lb)]),FALSE)</f>
        <v>2540</v>
      </c>
      <c r="W76" s="17" cm="1">
        <f t="array" ref="W76">VLOOKUP($B76,NAS1352First[],COLUMN(NAS1352First[Heat Resistant Steel Minimum Breaking Strength (lb)]),FALSE)</f>
        <v>5090</v>
      </c>
    </row>
    <row r="77" spans="1:23" x14ac:dyDescent="0.25">
      <c r="A77" s="15" t="s">
        <v>594</v>
      </c>
      <c r="B77" s="8" t="str">
        <f t="shared" si="1"/>
        <v>5</v>
      </c>
      <c r="C77" s="8">
        <f t="shared" si="2"/>
        <v>0.375</v>
      </c>
      <c r="D77" s="8" t="str" cm="1">
        <f t="array" ref="D77">VLOOKUP($B77,NAS1352First[],COLUMN(NAS1352First[Thread Size]),FALSE)</f>
        <v>5⁄16-18 or 0.3125-18 UNC CLASS 3</v>
      </c>
      <c r="E77" s="8" cm="1">
        <f t="array" ref="E77">VLOOKUP($B77,NAS1352First[],COLUMN(NAS1352First[Body Diameter Max]),FALSE)</f>
        <v>0.3125</v>
      </c>
      <c r="F77" s="8" cm="1">
        <f t="array" ref="F77">VLOOKUP($B77,NAS1352First[],COLUMN(NAS1352First[Body Diameter Max2]),FALSE)</f>
        <v>0.30530000000000002</v>
      </c>
      <c r="G77" s="8" cm="1">
        <f t="array" ref="G77">VLOOKUP($B77,NAS1352First[],COLUMN(NAS1352First[Head Diameter Max]),FALSE)</f>
        <v>0.46899999999999997</v>
      </c>
      <c r="H77" s="8" cm="1">
        <f t="array" ref="H77">VLOOKUP($B77,NAS1352First[],COLUMN(NAS1352First[Head Diameter Min]),FALSE)</f>
        <v>0.45700000000000002</v>
      </c>
      <c r="I77" s="8" cm="1">
        <f t="array" ref="I77">VLOOKUP($B77,NAS1352First[],COLUMN(NAS1352First[Head Height Max]),FALSE)</f>
        <v>0.312</v>
      </c>
      <c r="J77" s="8" cm="1">
        <f t="array" ref="J77">VLOOKUP($B77,NAS1352First[],COLUMN(NAS1352First[Head Height Min]),FALSE)</f>
        <v>0.30599999999999999</v>
      </c>
      <c r="K77" s="8" cm="1">
        <f t="array" ref="K77">VLOOKUP($B77,NAS1352First[],COLUMN(NAS1352First[Head Side Height Min]),FALSE)</f>
        <v>0.28100000000000003</v>
      </c>
      <c r="L77" s="8" cm="1">
        <f t="array" ref="L77">VLOOKUP($B77,NAS1352First[],COLUMN(NAS1352First[Nominal Socket Size]),FALSE)</f>
        <v>0.25</v>
      </c>
      <c r="M77" s="8" cm="1">
        <f t="array" ref="M77">VLOOKUP($B77,NAS1352First[],COLUMN(NAS1352First[Key Engagement Min]),FALSE)</f>
        <v>0.151</v>
      </c>
      <c r="N77" s="8" cm="1">
        <f t="array" ref="N77">VLOOKUP($B77,NAS1352First[],COLUMN(NAS1352First[Wall Thickness Min]),FALSE)</f>
        <v>0.11899999999999999</v>
      </c>
      <c r="O77" s="8" cm="1">
        <f t="array" ref="O77">VLOOKUP($B77,NAS1352First[],COLUMN(NAS1352First[Chamfer or Radius Max]),FALSE)</f>
        <v>8.0000000000000002E-3</v>
      </c>
      <c r="P77" s="8" cm="1">
        <f t="array" ref="P77">VLOOKUP($B77,NAS1352First[],COLUMN(NAS1352First[Minimum Basic Thread Length]),FALSE)</f>
        <v>1.125</v>
      </c>
      <c r="Q77" s="8" cm="1">
        <f t="array" ref="Q77">VLOOKUP($B77,NAS1352First[],COLUMN(NAS1352First[Drilled Hole Location Max]),FALSE)</f>
        <v>0.104</v>
      </c>
      <c r="R77" s="8" cm="1">
        <f t="array" ref="R77">VLOOKUP($B77,NAS1352First[],COLUMN(NAS1352First[Drilled Hole Location Min]),FALSE)</f>
        <v>8.4000000000000005E-2</v>
      </c>
      <c r="S77" s="8" cm="1">
        <f t="array" ref="S77">VLOOKUP($B77,NAS1352First[],COLUMN(NAS1352First[Drilled Hole Diameter Max]),FALSE)</f>
        <v>0.05</v>
      </c>
      <c r="T77" s="8" cm="1">
        <f t="array" ref="T77">VLOOKUP($B77,NAS1352First[],COLUMN(NAS1352First[Drilled Hole Diameter Min]),FALSE)</f>
        <v>4.3999999999999997E-2</v>
      </c>
      <c r="U77" s="8" cm="1">
        <f t="array" ref="U77">VLOOKUP($B77,NAS1352First[],COLUMN(NAS1352First[Alloy Steel Minimum Breaking Strength (lb)]),FALSE)</f>
        <v>9400</v>
      </c>
      <c r="V77" s="8" cm="1">
        <f t="array" ref="V77">VLOOKUP($B77,NAS1352First[],COLUMN(NAS1352First[Corrosion Resistant Steel Minimum Breaking Strength (lb)]),FALSE)</f>
        <v>4190</v>
      </c>
      <c r="W77" s="17" cm="1">
        <f t="array" ref="W77">VLOOKUP($B77,NAS1352First[],COLUMN(NAS1352First[Heat Resistant Steel Minimum Breaking Strength (lb)]),FALSE)</f>
        <v>8380</v>
      </c>
    </row>
    <row r="78" spans="1:23" x14ac:dyDescent="0.25">
      <c r="A78" s="15" t="s">
        <v>595</v>
      </c>
      <c r="B78" s="8" t="str">
        <f t="shared" si="1"/>
        <v>5</v>
      </c>
      <c r="C78" s="8">
        <f t="shared" si="2"/>
        <v>0.5</v>
      </c>
      <c r="D78" s="8" t="str" cm="1">
        <f t="array" ref="D78">VLOOKUP($B78,NAS1352First[],COLUMN(NAS1352First[Thread Size]),FALSE)</f>
        <v>5⁄16-18 or 0.3125-18 UNC CLASS 3</v>
      </c>
      <c r="E78" s="8" cm="1">
        <f t="array" ref="E78">VLOOKUP($B78,NAS1352First[],COLUMN(NAS1352First[Body Diameter Max]),FALSE)</f>
        <v>0.3125</v>
      </c>
      <c r="F78" s="8" cm="1">
        <f t="array" ref="F78">VLOOKUP($B78,NAS1352First[],COLUMN(NAS1352First[Body Diameter Max2]),FALSE)</f>
        <v>0.30530000000000002</v>
      </c>
      <c r="G78" s="8" cm="1">
        <f t="array" ref="G78">VLOOKUP($B78,NAS1352First[],COLUMN(NAS1352First[Head Diameter Max]),FALSE)</f>
        <v>0.46899999999999997</v>
      </c>
      <c r="H78" s="8" cm="1">
        <f t="array" ref="H78">VLOOKUP($B78,NAS1352First[],COLUMN(NAS1352First[Head Diameter Min]),FALSE)</f>
        <v>0.45700000000000002</v>
      </c>
      <c r="I78" s="8" cm="1">
        <f t="array" ref="I78">VLOOKUP($B78,NAS1352First[],COLUMN(NAS1352First[Head Height Max]),FALSE)</f>
        <v>0.312</v>
      </c>
      <c r="J78" s="8" cm="1">
        <f t="array" ref="J78">VLOOKUP($B78,NAS1352First[],COLUMN(NAS1352First[Head Height Min]),FALSE)</f>
        <v>0.30599999999999999</v>
      </c>
      <c r="K78" s="8" cm="1">
        <f t="array" ref="K78">VLOOKUP($B78,NAS1352First[],COLUMN(NAS1352First[Head Side Height Min]),FALSE)</f>
        <v>0.28100000000000003</v>
      </c>
      <c r="L78" s="8" cm="1">
        <f t="array" ref="L78">VLOOKUP($B78,NAS1352First[],COLUMN(NAS1352First[Nominal Socket Size]),FALSE)</f>
        <v>0.25</v>
      </c>
      <c r="M78" s="8" cm="1">
        <f t="array" ref="M78">VLOOKUP($B78,NAS1352First[],COLUMN(NAS1352First[Key Engagement Min]),FALSE)</f>
        <v>0.151</v>
      </c>
      <c r="N78" s="8" cm="1">
        <f t="array" ref="N78">VLOOKUP($B78,NAS1352First[],COLUMN(NAS1352First[Wall Thickness Min]),FALSE)</f>
        <v>0.11899999999999999</v>
      </c>
      <c r="O78" s="8" cm="1">
        <f t="array" ref="O78">VLOOKUP($B78,NAS1352First[],COLUMN(NAS1352First[Chamfer or Radius Max]),FALSE)</f>
        <v>8.0000000000000002E-3</v>
      </c>
      <c r="P78" s="8" cm="1">
        <f t="array" ref="P78">VLOOKUP($B78,NAS1352First[],COLUMN(NAS1352First[Minimum Basic Thread Length]),FALSE)</f>
        <v>1.125</v>
      </c>
      <c r="Q78" s="8" cm="1">
        <f t="array" ref="Q78">VLOOKUP($B78,NAS1352First[],COLUMN(NAS1352First[Drilled Hole Location Max]),FALSE)</f>
        <v>0.104</v>
      </c>
      <c r="R78" s="8" cm="1">
        <f t="array" ref="R78">VLOOKUP($B78,NAS1352First[],COLUMN(NAS1352First[Drilled Hole Location Min]),FALSE)</f>
        <v>8.4000000000000005E-2</v>
      </c>
      <c r="S78" s="8" cm="1">
        <f t="array" ref="S78">VLOOKUP($B78,NAS1352First[],COLUMN(NAS1352First[Drilled Hole Diameter Max]),FALSE)</f>
        <v>0.05</v>
      </c>
      <c r="T78" s="8" cm="1">
        <f t="array" ref="T78">VLOOKUP($B78,NAS1352First[],COLUMN(NAS1352First[Drilled Hole Diameter Min]),FALSE)</f>
        <v>4.3999999999999997E-2</v>
      </c>
      <c r="U78" s="8" cm="1">
        <f t="array" ref="U78">VLOOKUP($B78,NAS1352First[],COLUMN(NAS1352First[Alloy Steel Minimum Breaking Strength (lb)]),FALSE)</f>
        <v>9400</v>
      </c>
      <c r="V78" s="8" cm="1">
        <f t="array" ref="V78">VLOOKUP($B78,NAS1352First[],COLUMN(NAS1352First[Corrosion Resistant Steel Minimum Breaking Strength (lb)]),FALSE)</f>
        <v>4190</v>
      </c>
      <c r="W78" s="17" cm="1">
        <f t="array" ref="W78">VLOOKUP($B78,NAS1352First[],COLUMN(NAS1352First[Heat Resistant Steel Minimum Breaking Strength (lb)]),FALSE)</f>
        <v>8380</v>
      </c>
    </row>
    <row r="79" spans="1:23" x14ac:dyDescent="0.25">
      <c r="A79" s="15" t="s">
        <v>596</v>
      </c>
      <c r="B79" s="8" t="str">
        <f t="shared" si="1"/>
        <v>5</v>
      </c>
      <c r="C79" s="8">
        <f t="shared" si="2"/>
        <v>0.625</v>
      </c>
      <c r="D79" s="8" t="str" cm="1">
        <f t="array" ref="D79">VLOOKUP($B79,NAS1352First[],COLUMN(NAS1352First[Thread Size]),FALSE)</f>
        <v>5⁄16-18 or 0.3125-18 UNC CLASS 3</v>
      </c>
      <c r="E79" s="8" cm="1">
        <f t="array" ref="E79">VLOOKUP($B79,NAS1352First[],COLUMN(NAS1352First[Body Diameter Max]),FALSE)</f>
        <v>0.3125</v>
      </c>
      <c r="F79" s="8" cm="1">
        <f t="array" ref="F79">VLOOKUP($B79,NAS1352First[],COLUMN(NAS1352First[Body Diameter Max2]),FALSE)</f>
        <v>0.30530000000000002</v>
      </c>
      <c r="G79" s="8" cm="1">
        <f t="array" ref="G79">VLOOKUP($B79,NAS1352First[],COLUMN(NAS1352First[Head Diameter Max]),FALSE)</f>
        <v>0.46899999999999997</v>
      </c>
      <c r="H79" s="8" cm="1">
        <f t="array" ref="H79">VLOOKUP($B79,NAS1352First[],COLUMN(NAS1352First[Head Diameter Min]),FALSE)</f>
        <v>0.45700000000000002</v>
      </c>
      <c r="I79" s="8" cm="1">
        <f t="array" ref="I79">VLOOKUP($B79,NAS1352First[],COLUMN(NAS1352First[Head Height Max]),FALSE)</f>
        <v>0.312</v>
      </c>
      <c r="J79" s="8" cm="1">
        <f t="array" ref="J79">VLOOKUP($B79,NAS1352First[],COLUMN(NAS1352First[Head Height Min]),FALSE)</f>
        <v>0.30599999999999999</v>
      </c>
      <c r="K79" s="8" cm="1">
        <f t="array" ref="K79">VLOOKUP($B79,NAS1352First[],COLUMN(NAS1352First[Head Side Height Min]),FALSE)</f>
        <v>0.28100000000000003</v>
      </c>
      <c r="L79" s="8" cm="1">
        <f t="array" ref="L79">VLOOKUP($B79,NAS1352First[],COLUMN(NAS1352First[Nominal Socket Size]),FALSE)</f>
        <v>0.25</v>
      </c>
      <c r="M79" s="8" cm="1">
        <f t="array" ref="M79">VLOOKUP($B79,NAS1352First[],COLUMN(NAS1352First[Key Engagement Min]),FALSE)</f>
        <v>0.151</v>
      </c>
      <c r="N79" s="8" cm="1">
        <f t="array" ref="N79">VLOOKUP($B79,NAS1352First[],COLUMN(NAS1352First[Wall Thickness Min]),FALSE)</f>
        <v>0.11899999999999999</v>
      </c>
      <c r="O79" s="8" cm="1">
        <f t="array" ref="O79">VLOOKUP($B79,NAS1352First[],COLUMN(NAS1352First[Chamfer or Radius Max]),FALSE)</f>
        <v>8.0000000000000002E-3</v>
      </c>
      <c r="P79" s="8" cm="1">
        <f t="array" ref="P79">VLOOKUP($B79,NAS1352First[],COLUMN(NAS1352First[Minimum Basic Thread Length]),FALSE)</f>
        <v>1.125</v>
      </c>
      <c r="Q79" s="8" cm="1">
        <f t="array" ref="Q79">VLOOKUP($B79,NAS1352First[],COLUMN(NAS1352First[Drilled Hole Location Max]),FALSE)</f>
        <v>0.104</v>
      </c>
      <c r="R79" s="8" cm="1">
        <f t="array" ref="R79">VLOOKUP($B79,NAS1352First[],COLUMN(NAS1352First[Drilled Hole Location Min]),FALSE)</f>
        <v>8.4000000000000005E-2</v>
      </c>
      <c r="S79" s="8" cm="1">
        <f t="array" ref="S79">VLOOKUP($B79,NAS1352First[],COLUMN(NAS1352First[Drilled Hole Diameter Max]),FALSE)</f>
        <v>0.05</v>
      </c>
      <c r="T79" s="8" cm="1">
        <f t="array" ref="T79">VLOOKUP($B79,NAS1352First[],COLUMN(NAS1352First[Drilled Hole Diameter Min]),FALSE)</f>
        <v>4.3999999999999997E-2</v>
      </c>
      <c r="U79" s="8" cm="1">
        <f t="array" ref="U79">VLOOKUP($B79,NAS1352First[],COLUMN(NAS1352First[Alloy Steel Minimum Breaking Strength (lb)]),FALSE)</f>
        <v>9400</v>
      </c>
      <c r="V79" s="8" cm="1">
        <f t="array" ref="V79">VLOOKUP($B79,NAS1352First[],COLUMN(NAS1352First[Corrosion Resistant Steel Minimum Breaking Strength (lb)]),FALSE)</f>
        <v>4190</v>
      </c>
      <c r="W79" s="17" cm="1">
        <f t="array" ref="W79">VLOOKUP($B79,NAS1352First[],COLUMN(NAS1352First[Heat Resistant Steel Minimum Breaking Strength (lb)]),FALSE)</f>
        <v>8380</v>
      </c>
    </row>
    <row r="80" spans="1:23" x14ac:dyDescent="0.25">
      <c r="A80" s="15" t="s">
        <v>597</v>
      </c>
      <c r="B80" s="8" t="str">
        <f t="shared" si="1"/>
        <v>5</v>
      </c>
      <c r="C80" s="8">
        <f t="shared" si="2"/>
        <v>0.75</v>
      </c>
      <c r="D80" s="8" t="str" cm="1">
        <f t="array" ref="D80">VLOOKUP($B80,NAS1352First[],COLUMN(NAS1352First[Thread Size]),FALSE)</f>
        <v>5⁄16-18 or 0.3125-18 UNC CLASS 3</v>
      </c>
      <c r="E80" s="8" cm="1">
        <f t="array" ref="E80">VLOOKUP($B80,NAS1352First[],COLUMN(NAS1352First[Body Diameter Max]),FALSE)</f>
        <v>0.3125</v>
      </c>
      <c r="F80" s="8" cm="1">
        <f t="array" ref="F80">VLOOKUP($B80,NAS1352First[],COLUMN(NAS1352First[Body Diameter Max2]),FALSE)</f>
        <v>0.30530000000000002</v>
      </c>
      <c r="G80" s="8" cm="1">
        <f t="array" ref="G80">VLOOKUP($B80,NAS1352First[],COLUMN(NAS1352First[Head Diameter Max]),FALSE)</f>
        <v>0.46899999999999997</v>
      </c>
      <c r="H80" s="8" cm="1">
        <f t="array" ref="H80">VLOOKUP($B80,NAS1352First[],COLUMN(NAS1352First[Head Diameter Min]),FALSE)</f>
        <v>0.45700000000000002</v>
      </c>
      <c r="I80" s="8" cm="1">
        <f t="array" ref="I80">VLOOKUP($B80,NAS1352First[],COLUMN(NAS1352First[Head Height Max]),FALSE)</f>
        <v>0.312</v>
      </c>
      <c r="J80" s="8" cm="1">
        <f t="array" ref="J80">VLOOKUP($B80,NAS1352First[],COLUMN(NAS1352First[Head Height Min]),FALSE)</f>
        <v>0.30599999999999999</v>
      </c>
      <c r="K80" s="8" cm="1">
        <f t="array" ref="K80">VLOOKUP($B80,NAS1352First[],COLUMN(NAS1352First[Head Side Height Min]),FALSE)</f>
        <v>0.28100000000000003</v>
      </c>
      <c r="L80" s="8" cm="1">
        <f t="array" ref="L80">VLOOKUP($B80,NAS1352First[],COLUMN(NAS1352First[Nominal Socket Size]),FALSE)</f>
        <v>0.25</v>
      </c>
      <c r="M80" s="8" cm="1">
        <f t="array" ref="M80">VLOOKUP($B80,NAS1352First[],COLUMN(NAS1352First[Key Engagement Min]),FALSE)</f>
        <v>0.151</v>
      </c>
      <c r="N80" s="8" cm="1">
        <f t="array" ref="N80">VLOOKUP($B80,NAS1352First[],COLUMN(NAS1352First[Wall Thickness Min]),FALSE)</f>
        <v>0.11899999999999999</v>
      </c>
      <c r="O80" s="8" cm="1">
        <f t="array" ref="O80">VLOOKUP($B80,NAS1352First[],COLUMN(NAS1352First[Chamfer or Radius Max]),FALSE)</f>
        <v>8.0000000000000002E-3</v>
      </c>
      <c r="P80" s="8" cm="1">
        <f t="array" ref="P80">VLOOKUP($B80,NAS1352First[],COLUMN(NAS1352First[Minimum Basic Thread Length]),FALSE)</f>
        <v>1.125</v>
      </c>
      <c r="Q80" s="8" cm="1">
        <f t="array" ref="Q80">VLOOKUP($B80,NAS1352First[],COLUMN(NAS1352First[Drilled Hole Location Max]),FALSE)</f>
        <v>0.104</v>
      </c>
      <c r="R80" s="8" cm="1">
        <f t="array" ref="R80">VLOOKUP($B80,NAS1352First[],COLUMN(NAS1352First[Drilled Hole Location Min]),FALSE)</f>
        <v>8.4000000000000005E-2</v>
      </c>
      <c r="S80" s="8" cm="1">
        <f t="array" ref="S80">VLOOKUP($B80,NAS1352First[],COLUMN(NAS1352First[Drilled Hole Diameter Max]),FALSE)</f>
        <v>0.05</v>
      </c>
      <c r="T80" s="8" cm="1">
        <f t="array" ref="T80">VLOOKUP($B80,NAS1352First[],COLUMN(NAS1352First[Drilled Hole Diameter Min]),FALSE)</f>
        <v>4.3999999999999997E-2</v>
      </c>
      <c r="U80" s="8" cm="1">
        <f t="array" ref="U80">VLOOKUP($B80,NAS1352First[],COLUMN(NAS1352First[Alloy Steel Minimum Breaking Strength (lb)]),FALSE)</f>
        <v>9400</v>
      </c>
      <c r="V80" s="8" cm="1">
        <f t="array" ref="V80">VLOOKUP($B80,NAS1352First[],COLUMN(NAS1352First[Corrosion Resistant Steel Minimum Breaking Strength (lb)]),FALSE)</f>
        <v>4190</v>
      </c>
      <c r="W80" s="17" cm="1">
        <f t="array" ref="W80">VLOOKUP($B80,NAS1352First[],COLUMN(NAS1352First[Heat Resistant Steel Minimum Breaking Strength (lb)]),FALSE)</f>
        <v>8380</v>
      </c>
    </row>
    <row r="81" spans="1:23" x14ac:dyDescent="0.25">
      <c r="A81" s="15" t="s">
        <v>598</v>
      </c>
      <c r="B81" s="8" t="str">
        <f t="shared" si="1"/>
        <v>5</v>
      </c>
      <c r="C81" s="8">
        <f t="shared" si="2"/>
        <v>0.875</v>
      </c>
      <c r="D81" s="8" t="str" cm="1">
        <f t="array" ref="D81">VLOOKUP($B81,NAS1352First[],COLUMN(NAS1352First[Thread Size]),FALSE)</f>
        <v>5⁄16-18 or 0.3125-18 UNC CLASS 3</v>
      </c>
      <c r="E81" s="8" cm="1">
        <f t="array" ref="E81">VLOOKUP($B81,NAS1352First[],COLUMN(NAS1352First[Body Diameter Max]),FALSE)</f>
        <v>0.3125</v>
      </c>
      <c r="F81" s="8" cm="1">
        <f t="array" ref="F81">VLOOKUP($B81,NAS1352First[],COLUMN(NAS1352First[Body Diameter Max2]),FALSE)</f>
        <v>0.30530000000000002</v>
      </c>
      <c r="G81" s="8" cm="1">
        <f t="array" ref="G81">VLOOKUP($B81,NAS1352First[],COLUMN(NAS1352First[Head Diameter Max]),FALSE)</f>
        <v>0.46899999999999997</v>
      </c>
      <c r="H81" s="8" cm="1">
        <f t="array" ref="H81">VLOOKUP($B81,NAS1352First[],COLUMN(NAS1352First[Head Diameter Min]),FALSE)</f>
        <v>0.45700000000000002</v>
      </c>
      <c r="I81" s="8" cm="1">
        <f t="array" ref="I81">VLOOKUP($B81,NAS1352First[],COLUMN(NAS1352First[Head Height Max]),FALSE)</f>
        <v>0.312</v>
      </c>
      <c r="J81" s="8" cm="1">
        <f t="array" ref="J81">VLOOKUP($B81,NAS1352First[],COLUMN(NAS1352First[Head Height Min]),FALSE)</f>
        <v>0.30599999999999999</v>
      </c>
      <c r="K81" s="8" cm="1">
        <f t="array" ref="K81">VLOOKUP($B81,NAS1352First[],COLUMN(NAS1352First[Head Side Height Min]),FALSE)</f>
        <v>0.28100000000000003</v>
      </c>
      <c r="L81" s="8" cm="1">
        <f t="array" ref="L81">VLOOKUP($B81,NAS1352First[],COLUMN(NAS1352First[Nominal Socket Size]),FALSE)</f>
        <v>0.25</v>
      </c>
      <c r="M81" s="8" cm="1">
        <f t="array" ref="M81">VLOOKUP($B81,NAS1352First[],COLUMN(NAS1352First[Key Engagement Min]),FALSE)</f>
        <v>0.151</v>
      </c>
      <c r="N81" s="8" cm="1">
        <f t="array" ref="N81">VLOOKUP($B81,NAS1352First[],COLUMN(NAS1352First[Wall Thickness Min]),FALSE)</f>
        <v>0.11899999999999999</v>
      </c>
      <c r="O81" s="8" cm="1">
        <f t="array" ref="O81">VLOOKUP($B81,NAS1352First[],COLUMN(NAS1352First[Chamfer or Radius Max]),FALSE)</f>
        <v>8.0000000000000002E-3</v>
      </c>
      <c r="P81" s="8" cm="1">
        <f t="array" ref="P81">VLOOKUP($B81,NAS1352First[],COLUMN(NAS1352First[Minimum Basic Thread Length]),FALSE)</f>
        <v>1.125</v>
      </c>
      <c r="Q81" s="8" cm="1">
        <f t="array" ref="Q81">VLOOKUP($B81,NAS1352First[],COLUMN(NAS1352First[Drilled Hole Location Max]),FALSE)</f>
        <v>0.104</v>
      </c>
      <c r="R81" s="8" cm="1">
        <f t="array" ref="R81">VLOOKUP($B81,NAS1352First[],COLUMN(NAS1352First[Drilled Hole Location Min]),FALSE)</f>
        <v>8.4000000000000005E-2</v>
      </c>
      <c r="S81" s="8" cm="1">
        <f t="array" ref="S81">VLOOKUP($B81,NAS1352First[],COLUMN(NAS1352First[Drilled Hole Diameter Max]),FALSE)</f>
        <v>0.05</v>
      </c>
      <c r="T81" s="8" cm="1">
        <f t="array" ref="T81">VLOOKUP($B81,NAS1352First[],COLUMN(NAS1352First[Drilled Hole Diameter Min]),FALSE)</f>
        <v>4.3999999999999997E-2</v>
      </c>
      <c r="U81" s="8" cm="1">
        <f t="array" ref="U81">VLOOKUP($B81,NAS1352First[],COLUMN(NAS1352First[Alloy Steel Minimum Breaking Strength (lb)]),FALSE)</f>
        <v>9400</v>
      </c>
      <c r="V81" s="8" cm="1">
        <f t="array" ref="V81">VLOOKUP($B81,NAS1352First[],COLUMN(NAS1352First[Corrosion Resistant Steel Minimum Breaking Strength (lb)]),FALSE)</f>
        <v>4190</v>
      </c>
      <c r="W81" s="17" cm="1">
        <f t="array" ref="W81">VLOOKUP($B81,NAS1352First[],COLUMN(NAS1352First[Heat Resistant Steel Minimum Breaking Strength (lb)]),FALSE)</f>
        <v>8380</v>
      </c>
    </row>
    <row r="82" spans="1:23" x14ac:dyDescent="0.25">
      <c r="A82" s="15" t="s">
        <v>599</v>
      </c>
      <c r="B82" s="8" t="str">
        <f t="shared" si="1"/>
        <v>5</v>
      </c>
      <c r="C82" s="8">
        <f t="shared" si="2"/>
        <v>1</v>
      </c>
      <c r="D82" s="8" t="str" cm="1">
        <f t="array" ref="D82">VLOOKUP($B82,NAS1352First[],COLUMN(NAS1352First[Thread Size]),FALSE)</f>
        <v>5⁄16-18 or 0.3125-18 UNC CLASS 3</v>
      </c>
      <c r="E82" s="8" cm="1">
        <f t="array" ref="E82">VLOOKUP($B82,NAS1352First[],COLUMN(NAS1352First[Body Diameter Max]),FALSE)</f>
        <v>0.3125</v>
      </c>
      <c r="F82" s="8" cm="1">
        <f t="array" ref="F82">VLOOKUP($B82,NAS1352First[],COLUMN(NAS1352First[Body Diameter Max2]),FALSE)</f>
        <v>0.30530000000000002</v>
      </c>
      <c r="G82" s="8" cm="1">
        <f t="array" ref="G82">VLOOKUP($B82,NAS1352First[],COLUMN(NAS1352First[Head Diameter Max]),FALSE)</f>
        <v>0.46899999999999997</v>
      </c>
      <c r="H82" s="8" cm="1">
        <f t="array" ref="H82">VLOOKUP($B82,NAS1352First[],COLUMN(NAS1352First[Head Diameter Min]),FALSE)</f>
        <v>0.45700000000000002</v>
      </c>
      <c r="I82" s="8" cm="1">
        <f t="array" ref="I82">VLOOKUP($B82,NAS1352First[],COLUMN(NAS1352First[Head Height Max]),FALSE)</f>
        <v>0.312</v>
      </c>
      <c r="J82" s="8" cm="1">
        <f t="array" ref="J82">VLOOKUP($B82,NAS1352First[],COLUMN(NAS1352First[Head Height Min]),FALSE)</f>
        <v>0.30599999999999999</v>
      </c>
      <c r="K82" s="8" cm="1">
        <f t="array" ref="K82">VLOOKUP($B82,NAS1352First[],COLUMN(NAS1352First[Head Side Height Min]),FALSE)</f>
        <v>0.28100000000000003</v>
      </c>
      <c r="L82" s="8" cm="1">
        <f t="array" ref="L82">VLOOKUP($B82,NAS1352First[],COLUMN(NAS1352First[Nominal Socket Size]),FALSE)</f>
        <v>0.25</v>
      </c>
      <c r="M82" s="8" cm="1">
        <f t="array" ref="M82">VLOOKUP($B82,NAS1352First[],COLUMN(NAS1352First[Key Engagement Min]),FALSE)</f>
        <v>0.151</v>
      </c>
      <c r="N82" s="8" cm="1">
        <f t="array" ref="N82">VLOOKUP($B82,NAS1352First[],COLUMN(NAS1352First[Wall Thickness Min]),FALSE)</f>
        <v>0.11899999999999999</v>
      </c>
      <c r="O82" s="8" cm="1">
        <f t="array" ref="O82">VLOOKUP($B82,NAS1352First[],COLUMN(NAS1352First[Chamfer or Radius Max]),FALSE)</f>
        <v>8.0000000000000002E-3</v>
      </c>
      <c r="P82" s="8" cm="1">
        <f t="array" ref="P82">VLOOKUP($B82,NAS1352First[],COLUMN(NAS1352First[Minimum Basic Thread Length]),FALSE)</f>
        <v>1.125</v>
      </c>
      <c r="Q82" s="8" cm="1">
        <f t="array" ref="Q82">VLOOKUP($B82,NAS1352First[],COLUMN(NAS1352First[Drilled Hole Location Max]),FALSE)</f>
        <v>0.104</v>
      </c>
      <c r="R82" s="8" cm="1">
        <f t="array" ref="R82">VLOOKUP($B82,NAS1352First[],COLUMN(NAS1352First[Drilled Hole Location Min]),FALSE)</f>
        <v>8.4000000000000005E-2</v>
      </c>
      <c r="S82" s="8" cm="1">
        <f t="array" ref="S82">VLOOKUP($B82,NAS1352First[],COLUMN(NAS1352First[Drilled Hole Diameter Max]),FALSE)</f>
        <v>0.05</v>
      </c>
      <c r="T82" s="8" cm="1">
        <f t="array" ref="T82">VLOOKUP($B82,NAS1352First[],COLUMN(NAS1352First[Drilled Hole Diameter Min]),FALSE)</f>
        <v>4.3999999999999997E-2</v>
      </c>
      <c r="U82" s="8" cm="1">
        <f t="array" ref="U82">VLOOKUP($B82,NAS1352First[],COLUMN(NAS1352First[Alloy Steel Minimum Breaking Strength (lb)]),FALSE)</f>
        <v>9400</v>
      </c>
      <c r="V82" s="8" cm="1">
        <f t="array" ref="V82">VLOOKUP($B82,NAS1352First[],COLUMN(NAS1352First[Corrosion Resistant Steel Minimum Breaking Strength (lb)]),FALSE)</f>
        <v>4190</v>
      </c>
      <c r="W82" s="17" cm="1">
        <f t="array" ref="W82">VLOOKUP($B82,NAS1352First[],COLUMN(NAS1352First[Heat Resistant Steel Minimum Breaking Strength (lb)]),FALSE)</f>
        <v>8380</v>
      </c>
    </row>
    <row r="83" spans="1:23" x14ac:dyDescent="0.25">
      <c r="A83" s="15" t="s">
        <v>600</v>
      </c>
      <c r="B83" s="8" t="str">
        <f t="shared" si="1"/>
        <v>5</v>
      </c>
      <c r="C83" s="8">
        <f t="shared" si="2"/>
        <v>1.25</v>
      </c>
      <c r="D83" s="8" t="str" cm="1">
        <f t="array" ref="D83">VLOOKUP($B83,NAS1352First[],COLUMN(NAS1352First[Thread Size]),FALSE)</f>
        <v>5⁄16-18 or 0.3125-18 UNC CLASS 3</v>
      </c>
      <c r="E83" s="8" cm="1">
        <f t="array" ref="E83">VLOOKUP($B83,NAS1352First[],COLUMN(NAS1352First[Body Diameter Max]),FALSE)</f>
        <v>0.3125</v>
      </c>
      <c r="F83" s="8" cm="1">
        <f t="array" ref="F83">VLOOKUP($B83,NAS1352First[],COLUMN(NAS1352First[Body Diameter Max2]),FALSE)</f>
        <v>0.30530000000000002</v>
      </c>
      <c r="G83" s="8" cm="1">
        <f t="array" ref="G83">VLOOKUP($B83,NAS1352First[],COLUMN(NAS1352First[Head Diameter Max]),FALSE)</f>
        <v>0.46899999999999997</v>
      </c>
      <c r="H83" s="8" cm="1">
        <f t="array" ref="H83">VLOOKUP($B83,NAS1352First[],COLUMN(NAS1352First[Head Diameter Min]),FALSE)</f>
        <v>0.45700000000000002</v>
      </c>
      <c r="I83" s="8" cm="1">
        <f t="array" ref="I83">VLOOKUP($B83,NAS1352First[],COLUMN(NAS1352First[Head Height Max]),FALSE)</f>
        <v>0.312</v>
      </c>
      <c r="J83" s="8" cm="1">
        <f t="array" ref="J83">VLOOKUP($B83,NAS1352First[],COLUMN(NAS1352First[Head Height Min]),FALSE)</f>
        <v>0.30599999999999999</v>
      </c>
      <c r="K83" s="8" cm="1">
        <f t="array" ref="K83">VLOOKUP($B83,NAS1352First[],COLUMN(NAS1352First[Head Side Height Min]),FALSE)</f>
        <v>0.28100000000000003</v>
      </c>
      <c r="L83" s="8" cm="1">
        <f t="array" ref="L83">VLOOKUP($B83,NAS1352First[],COLUMN(NAS1352First[Nominal Socket Size]),FALSE)</f>
        <v>0.25</v>
      </c>
      <c r="M83" s="8" cm="1">
        <f t="array" ref="M83">VLOOKUP($B83,NAS1352First[],COLUMN(NAS1352First[Key Engagement Min]),FALSE)</f>
        <v>0.151</v>
      </c>
      <c r="N83" s="8" cm="1">
        <f t="array" ref="N83">VLOOKUP($B83,NAS1352First[],COLUMN(NAS1352First[Wall Thickness Min]),FALSE)</f>
        <v>0.11899999999999999</v>
      </c>
      <c r="O83" s="8" cm="1">
        <f t="array" ref="O83">VLOOKUP($B83,NAS1352First[],COLUMN(NAS1352First[Chamfer or Radius Max]),FALSE)</f>
        <v>8.0000000000000002E-3</v>
      </c>
      <c r="P83" s="8" cm="1">
        <f t="array" ref="P83">VLOOKUP($B83,NAS1352First[],COLUMN(NAS1352First[Minimum Basic Thread Length]),FALSE)</f>
        <v>1.125</v>
      </c>
      <c r="Q83" s="8" cm="1">
        <f t="array" ref="Q83">VLOOKUP($B83,NAS1352First[],COLUMN(NAS1352First[Drilled Hole Location Max]),FALSE)</f>
        <v>0.104</v>
      </c>
      <c r="R83" s="8" cm="1">
        <f t="array" ref="R83">VLOOKUP($B83,NAS1352First[],COLUMN(NAS1352First[Drilled Hole Location Min]),FALSE)</f>
        <v>8.4000000000000005E-2</v>
      </c>
      <c r="S83" s="8" cm="1">
        <f t="array" ref="S83">VLOOKUP($B83,NAS1352First[],COLUMN(NAS1352First[Drilled Hole Diameter Max]),FALSE)</f>
        <v>0.05</v>
      </c>
      <c r="T83" s="8" cm="1">
        <f t="array" ref="T83">VLOOKUP($B83,NAS1352First[],COLUMN(NAS1352First[Drilled Hole Diameter Min]),FALSE)</f>
        <v>4.3999999999999997E-2</v>
      </c>
      <c r="U83" s="8" cm="1">
        <f t="array" ref="U83">VLOOKUP($B83,NAS1352First[],COLUMN(NAS1352First[Alloy Steel Minimum Breaking Strength (lb)]),FALSE)</f>
        <v>9400</v>
      </c>
      <c r="V83" s="8" cm="1">
        <f t="array" ref="V83">VLOOKUP($B83,NAS1352First[],COLUMN(NAS1352First[Corrosion Resistant Steel Minimum Breaking Strength (lb)]),FALSE)</f>
        <v>4190</v>
      </c>
      <c r="W83" s="17" cm="1">
        <f t="array" ref="W83">VLOOKUP($B83,NAS1352First[],COLUMN(NAS1352First[Heat Resistant Steel Minimum Breaking Strength (lb)]),FALSE)</f>
        <v>8380</v>
      </c>
    </row>
    <row r="84" spans="1:23" x14ac:dyDescent="0.25">
      <c r="A84" s="15" t="s">
        <v>601</v>
      </c>
      <c r="B84" s="8" t="str">
        <f t="shared" si="1"/>
        <v>5</v>
      </c>
      <c r="C84" s="8">
        <f t="shared" si="2"/>
        <v>1.5</v>
      </c>
      <c r="D84" s="8" t="str" cm="1">
        <f t="array" ref="D84">VLOOKUP($B84,NAS1352First[],COLUMN(NAS1352First[Thread Size]),FALSE)</f>
        <v>5⁄16-18 or 0.3125-18 UNC CLASS 3</v>
      </c>
      <c r="E84" s="8" cm="1">
        <f t="array" ref="E84">VLOOKUP($B84,NAS1352First[],COLUMN(NAS1352First[Body Diameter Max]),FALSE)</f>
        <v>0.3125</v>
      </c>
      <c r="F84" s="8" cm="1">
        <f t="array" ref="F84">VLOOKUP($B84,NAS1352First[],COLUMN(NAS1352First[Body Diameter Max2]),FALSE)</f>
        <v>0.30530000000000002</v>
      </c>
      <c r="G84" s="8" cm="1">
        <f t="array" ref="G84">VLOOKUP($B84,NAS1352First[],COLUMN(NAS1352First[Head Diameter Max]),FALSE)</f>
        <v>0.46899999999999997</v>
      </c>
      <c r="H84" s="8" cm="1">
        <f t="array" ref="H84">VLOOKUP($B84,NAS1352First[],COLUMN(NAS1352First[Head Diameter Min]),FALSE)</f>
        <v>0.45700000000000002</v>
      </c>
      <c r="I84" s="8" cm="1">
        <f t="array" ref="I84">VLOOKUP($B84,NAS1352First[],COLUMN(NAS1352First[Head Height Max]),FALSE)</f>
        <v>0.312</v>
      </c>
      <c r="J84" s="8" cm="1">
        <f t="array" ref="J84">VLOOKUP($B84,NAS1352First[],COLUMN(NAS1352First[Head Height Min]),FALSE)</f>
        <v>0.30599999999999999</v>
      </c>
      <c r="K84" s="8" cm="1">
        <f t="array" ref="K84">VLOOKUP($B84,NAS1352First[],COLUMN(NAS1352First[Head Side Height Min]),FALSE)</f>
        <v>0.28100000000000003</v>
      </c>
      <c r="L84" s="8" cm="1">
        <f t="array" ref="L84">VLOOKUP($B84,NAS1352First[],COLUMN(NAS1352First[Nominal Socket Size]),FALSE)</f>
        <v>0.25</v>
      </c>
      <c r="M84" s="8" cm="1">
        <f t="array" ref="M84">VLOOKUP($B84,NAS1352First[],COLUMN(NAS1352First[Key Engagement Min]),FALSE)</f>
        <v>0.151</v>
      </c>
      <c r="N84" s="8" cm="1">
        <f t="array" ref="N84">VLOOKUP($B84,NAS1352First[],COLUMN(NAS1352First[Wall Thickness Min]),FALSE)</f>
        <v>0.11899999999999999</v>
      </c>
      <c r="O84" s="8" cm="1">
        <f t="array" ref="O84">VLOOKUP($B84,NAS1352First[],COLUMN(NAS1352First[Chamfer or Radius Max]),FALSE)</f>
        <v>8.0000000000000002E-3</v>
      </c>
      <c r="P84" s="8" cm="1">
        <f t="array" ref="P84">VLOOKUP($B84,NAS1352First[],COLUMN(NAS1352First[Minimum Basic Thread Length]),FALSE)</f>
        <v>1.125</v>
      </c>
      <c r="Q84" s="8" cm="1">
        <f t="array" ref="Q84">VLOOKUP($B84,NAS1352First[],COLUMN(NAS1352First[Drilled Hole Location Max]),FALSE)</f>
        <v>0.104</v>
      </c>
      <c r="R84" s="8" cm="1">
        <f t="array" ref="R84">VLOOKUP($B84,NAS1352First[],COLUMN(NAS1352First[Drilled Hole Location Min]),FALSE)</f>
        <v>8.4000000000000005E-2</v>
      </c>
      <c r="S84" s="8" cm="1">
        <f t="array" ref="S84">VLOOKUP($B84,NAS1352First[],COLUMN(NAS1352First[Drilled Hole Diameter Max]),FALSE)</f>
        <v>0.05</v>
      </c>
      <c r="T84" s="8" cm="1">
        <f t="array" ref="T84">VLOOKUP($B84,NAS1352First[],COLUMN(NAS1352First[Drilled Hole Diameter Min]),FALSE)</f>
        <v>4.3999999999999997E-2</v>
      </c>
      <c r="U84" s="8" cm="1">
        <f t="array" ref="U84">VLOOKUP($B84,NAS1352First[],COLUMN(NAS1352First[Alloy Steel Minimum Breaking Strength (lb)]),FALSE)</f>
        <v>9400</v>
      </c>
      <c r="V84" s="8" cm="1">
        <f t="array" ref="V84">VLOOKUP($B84,NAS1352First[],COLUMN(NAS1352First[Corrosion Resistant Steel Minimum Breaking Strength (lb)]),FALSE)</f>
        <v>4190</v>
      </c>
      <c r="W84" s="17" cm="1">
        <f t="array" ref="W84">VLOOKUP($B84,NAS1352First[],COLUMN(NAS1352First[Heat Resistant Steel Minimum Breaking Strength (lb)]),FALSE)</f>
        <v>8380</v>
      </c>
    </row>
    <row r="85" spans="1:23" x14ac:dyDescent="0.25">
      <c r="A85" s="15" t="s">
        <v>602</v>
      </c>
      <c r="B85" s="8" t="str">
        <f t="shared" si="1"/>
        <v>5</v>
      </c>
      <c r="C85" s="8">
        <f t="shared" si="2"/>
        <v>1.75</v>
      </c>
      <c r="D85" s="8" t="str" cm="1">
        <f t="array" ref="D85">VLOOKUP($B85,NAS1352First[],COLUMN(NAS1352First[Thread Size]),FALSE)</f>
        <v>5⁄16-18 or 0.3125-18 UNC CLASS 3</v>
      </c>
      <c r="E85" s="8" cm="1">
        <f t="array" ref="E85">VLOOKUP($B85,NAS1352First[],COLUMN(NAS1352First[Body Diameter Max]),FALSE)</f>
        <v>0.3125</v>
      </c>
      <c r="F85" s="8" cm="1">
        <f t="array" ref="F85">VLOOKUP($B85,NAS1352First[],COLUMN(NAS1352First[Body Diameter Max2]),FALSE)</f>
        <v>0.30530000000000002</v>
      </c>
      <c r="G85" s="8" cm="1">
        <f t="array" ref="G85">VLOOKUP($B85,NAS1352First[],COLUMN(NAS1352First[Head Diameter Max]),FALSE)</f>
        <v>0.46899999999999997</v>
      </c>
      <c r="H85" s="8" cm="1">
        <f t="array" ref="H85">VLOOKUP($B85,NAS1352First[],COLUMN(NAS1352First[Head Diameter Min]),FALSE)</f>
        <v>0.45700000000000002</v>
      </c>
      <c r="I85" s="8" cm="1">
        <f t="array" ref="I85">VLOOKUP($B85,NAS1352First[],COLUMN(NAS1352First[Head Height Max]),FALSE)</f>
        <v>0.312</v>
      </c>
      <c r="J85" s="8" cm="1">
        <f t="array" ref="J85">VLOOKUP($B85,NAS1352First[],COLUMN(NAS1352First[Head Height Min]),FALSE)</f>
        <v>0.30599999999999999</v>
      </c>
      <c r="K85" s="8" cm="1">
        <f t="array" ref="K85">VLOOKUP($B85,NAS1352First[],COLUMN(NAS1352First[Head Side Height Min]),FALSE)</f>
        <v>0.28100000000000003</v>
      </c>
      <c r="L85" s="8" cm="1">
        <f t="array" ref="L85">VLOOKUP($B85,NAS1352First[],COLUMN(NAS1352First[Nominal Socket Size]),FALSE)</f>
        <v>0.25</v>
      </c>
      <c r="M85" s="8" cm="1">
        <f t="array" ref="M85">VLOOKUP($B85,NAS1352First[],COLUMN(NAS1352First[Key Engagement Min]),FALSE)</f>
        <v>0.151</v>
      </c>
      <c r="N85" s="8" cm="1">
        <f t="array" ref="N85">VLOOKUP($B85,NAS1352First[],COLUMN(NAS1352First[Wall Thickness Min]),FALSE)</f>
        <v>0.11899999999999999</v>
      </c>
      <c r="O85" s="8" cm="1">
        <f t="array" ref="O85">VLOOKUP($B85,NAS1352First[],COLUMN(NAS1352First[Chamfer or Radius Max]),FALSE)</f>
        <v>8.0000000000000002E-3</v>
      </c>
      <c r="P85" s="8" cm="1">
        <f t="array" ref="P85">VLOOKUP($B85,NAS1352First[],COLUMN(NAS1352First[Minimum Basic Thread Length]),FALSE)</f>
        <v>1.125</v>
      </c>
      <c r="Q85" s="8" cm="1">
        <f t="array" ref="Q85">VLOOKUP($B85,NAS1352First[],COLUMN(NAS1352First[Drilled Hole Location Max]),FALSE)</f>
        <v>0.104</v>
      </c>
      <c r="R85" s="8" cm="1">
        <f t="array" ref="R85">VLOOKUP($B85,NAS1352First[],COLUMN(NAS1352First[Drilled Hole Location Min]),FALSE)</f>
        <v>8.4000000000000005E-2</v>
      </c>
      <c r="S85" s="8" cm="1">
        <f t="array" ref="S85">VLOOKUP($B85,NAS1352First[],COLUMN(NAS1352First[Drilled Hole Diameter Max]),FALSE)</f>
        <v>0.05</v>
      </c>
      <c r="T85" s="8" cm="1">
        <f t="array" ref="T85">VLOOKUP($B85,NAS1352First[],COLUMN(NAS1352First[Drilled Hole Diameter Min]),FALSE)</f>
        <v>4.3999999999999997E-2</v>
      </c>
      <c r="U85" s="8" cm="1">
        <f t="array" ref="U85">VLOOKUP($B85,NAS1352First[],COLUMN(NAS1352First[Alloy Steel Minimum Breaking Strength (lb)]),FALSE)</f>
        <v>9400</v>
      </c>
      <c r="V85" s="8" cm="1">
        <f t="array" ref="V85">VLOOKUP($B85,NAS1352First[],COLUMN(NAS1352First[Corrosion Resistant Steel Minimum Breaking Strength (lb)]),FALSE)</f>
        <v>4190</v>
      </c>
      <c r="W85" s="17" cm="1">
        <f t="array" ref="W85">VLOOKUP($B85,NAS1352First[],COLUMN(NAS1352First[Heat Resistant Steel Minimum Breaking Strength (lb)]),FALSE)</f>
        <v>8380</v>
      </c>
    </row>
    <row r="86" spans="1:23" x14ac:dyDescent="0.25">
      <c r="A86" s="15" t="s">
        <v>603</v>
      </c>
      <c r="B86" s="8" t="str">
        <f t="shared" si="1"/>
        <v>5</v>
      </c>
      <c r="C86" s="8">
        <f t="shared" si="2"/>
        <v>2</v>
      </c>
      <c r="D86" s="8" t="str" cm="1">
        <f t="array" ref="D86">VLOOKUP($B86,NAS1352First[],COLUMN(NAS1352First[Thread Size]),FALSE)</f>
        <v>5⁄16-18 or 0.3125-18 UNC CLASS 3</v>
      </c>
      <c r="E86" s="8" cm="1">
        <f t="array" ref="E86">VLOOKUP($B86,NAS1352First[],COLUMN(NAS1352First[Body Diameter Max]),FALSE)</f>
        <v>0.3125</v>
      </c>
      <c r="F86" s="8" cm="1">
        <f t="array" ref="F86">VLOOKUP($B86,NAS1352First[],COLUMN(NAS1352First[Body Diameter Max2]),FALSE)</f>
        <v>0.30530000000000002</v>
      </c>
      <c r="G86" s="8" cm="1">
        <f t="array" ref="G86">VLOOKUP($B86,NAS1352First[],COLUMN(NAS1352First[Head Diameter Max]),FALSE)</f>
        <v>0.46899999999999997</v>
      </c>
      <c r="H86" s="8" cm="1">
        <f t="array" ref="H86">VLOOKUP($B86,NAS1352First[],COLUMN(NAS1352First[Head Diameter Min]),FALSE)</f>
        <v>0.45700000000000002</v>
      </c>
      <c r="I86" s="8" cm="1">
        <f t="array" ref="I86">VLOOKUP($B86,NAS1352First[],COLUMN(NAS1352First[Head Height Max]),FALSE)</f>
        <v>0.312</v>
      </c>
      <c r="J86" s="8" cm="1">
        <f t="array" ref="J86">VLOOKUP($B86,NAS1352First[],COLUMN(NAS1352First[Head Height Min]),FALSE)</f>
        <v>0.30599999999999999</v>
      </c>
      <c r="K86" s="8" cm="1">
        <f t="array" ref="K86">VLOOKUP($B86,NAS1352First[],COLUMN(NAS1352First[Head Side Height Min]),FALSE)</f>
        <v>0.28100000000000003</v>
      </c>
      <c r="L86" s="8" cm="1">
        <f t="array" ref="L86">VLOOKUP($B86,NAS1352First[],COLUMN(NAS1352First[Nominal Socket Size]),FALSE)</f>
        <v>0.25</v>
      </c>
      <c r="M86" s="8" cm="1">
        <f t="array" ref="M86">VLOOKUP($B86,NAS1352First[],COLUMN(NAS1352First[Key Engagement Min]),FALSE)</f>
        <v>0.151</v>
      </c>
      <c r="N86" s="8" cm="1">
        <f t="array" ref="N86">VLOOKUP($B86,NAS1352First[],COLUMN(NAS1352First[Wall Thickness Min]),FALSE)</f>
        <v>0.11899999999999999</v>
      </c>
      <c r="O86" s="8" cm="1">
        <f t="array" ref="O86">VLOOKUP($B86,NAS1352First[],COLUMN(NAS1352First[Chamfer or Radius Max]),FALSE)</f>
        <v>8.0000000000000002E-3</v>
      </c>
      <c r="P86" s="8" cm="1">
        <f t="array" ref="P86">VLOOKUP($B86,NAS1352First[],COLUMN(NAS1352First[Minimum Basic Thread Length]),FALSE)</f>
        <v>1.125</v>
      </c>
      <c r="Q86" s="8" cm="1">
        <f t="array" ref="Q86">VLOOKUP($B86,NAS1352First[],COLUMN(NAS1352First[Drilled Hole Location Max]),FALSE)</f>
        <v>0.104</v>
      </c>
      <c r="R86" s="8" cm="1">
        <f t="array" ref="R86">VLOOKUP($B86,NAS1352First[],COLUMN(NAS1352First[Drilled Hole Location Min]),FALSE)</f>
        <v>8.4000000000000005E-2</v>
      </c>
      <c r="S86" s="8" cm="1">
        <f t="array" ref="S86">VLOOKUP($B86,NAS1352First[],COLUMN(NAS1352First[Drilled Hole Diameter Max]),FALSE)</f>
        <v>0.05</v>
      </c>
      <c r="T86" s="8" cm="1">
        <f t="array" ref="T86">VLOOKUP($B86,NAS1352First[],COLUMN(NAS1352First[Drilled Hole Diameter Min]),FALSE)</f>
        <v>4.3999999999999997E-2</v>
      </c>
      <c r="U86" s="8" cm="1">
        <f t="array" ref="U86">VLOOKUP($B86,NAS1352First[],COLUMN(NAS1352First[Alloy Steel Minimum Breaking Strength (lb)]),FALSE)</f>
        <v>9400</v>
      </c>
      <c r="V86" s="8" cm="1">
        <f t="array" ref="V86">VLOOKUP($B86,NAS1352First[],COLUMN(NAS1352First[Corrosion Resistant Steel Minimum Breaking Strength (lb)]),FALSE)</f>
        <v>4190</v>
      </c>
      <c r="W86" s="17" cm="1">
        <f t="array" ref="W86">VLOOKUP($B86,NAS1352First[],COLUMN(NAS1352First[Heat Resistant Steel Minimum Breaking Strength (lb)]),FALSE)</f>
        <v>8380</v>
      </c>
    </row>
    <row r="87" spans="1:23" x14ac:dyDescent="0.25">
      <c r="A87" s="15" t="s">
        <v>604</v>
      </c>
      <c r="B87" s="8" t="str">
        <f t="shared" si="1"/>
        <v>5</v>
      </c>
      <c r="C87" s="8">
        <f t="shared" ref="C87:C118" si="3">_xlfn.NUMBERVALUE(RIGHT(A87,LEN(A87)-SEARCH("~*",A87)))/16</f>
        <v>2.25</v>
      </c>
      <c r="D87" s="8" t="str" cm="1">
        <f t="array" ref="D87">VLOOKUP($B87,NAS1352First[],COLUMN(NAS1352First[Thread Size]),FALSE)</f>
        <v>5⁄16-18 or 0.3125-18 UNC CLASS 3</v>
      </c>
      <c r="E87" s="8" cm="1">
        <f t="array" ref="E87">VLOOKUP($B87,NAS1352First[],COLUMN(NAS1352First[Body Diameter Max]),FALSE)</f>
        <v>0.3125</v>
      </c>
      <c r="F87" s="8" cm="1">
        <f t="array" ref="F87">VLOOKUP($B87,NAS1352First[],COLUMN(NAS1352First[Body Diameter Max2]),FALSE)</f>
        <v>0.30530000000000002</v>
      </c>
      <c r="G87" s="8" cm="1">
        <f t="array" ref="G87">VLOOKUP($B87,NAS1352First[],COLUMN(NAS1352First[Head Diameter Max]),FALSE)</f>
        <v>0.46899999999999997</v>
      </c>
      <c r="H87" s="8" cm="1">
        <f t="array" ref="H87">VLOOKUP($B87,NAS1352First[],COLUMN(NAS1352First[Head Diameter Min]),FALSE)</f>
        <v>0.45700000000000002</v>
      </c>
      <c r="I87" s="8" cm="1">
        <f t="array" ref="I87">VLOOKUP($B87,NAS1352First[],COLUMN(NAS1352First[Head Height Max]),FALSE)</f>
        <v>0.312</v>
      </c>
      <c r="J87" s="8" cm="1">
        <f t="array" ref="J87">VLOOKUP($B87,NAS1352First[],COLUMN(NAS1352First[Head Height Min]),FALSE)</f>
        <v>0.30599999999999999</v>
      </c>
      <c r="K87" s="8" cm="1">
        <f t="array" ref="K87">VLOOKUP($B87,NAS1352First[],COLUMN(NAS1352First[Head Side Height Min]),FALSE)</f>
        <v>0.28100000000000003</v>
      </c>
      <c r="L87" s="8" cm="1">
        <f t="array" ref="L87">VLOOKUP($B87,NAS1352First[],COLUMN(NAS1352First[Nominal Socket Size]),FALSE)</f>
        <v>0.25</v>
      </c>
      <c r="M87" s="8" cm="1">
        <f t="array" ref="M87">VLOOKUP($B87,NAS1352First[],COLUMN(NAS1352First[Key Engagement Min]),FALSE)</f>
        <v>0.151</v>
      </c>
      <c r="N87" s="8" cm="1">
        <f t="array" ref="N87">VLOOKUP($B87,NAS1352First[],COLUMN(NAS1352First[Wall Thickness Min]),FALSE)</f>
        <v>0.11899999999999999</v>
      </c>
      <c r="O87" s="8" cm="1">
        <f t="array" ref="O87">VLOOKUP($B87,NAS1352First[],COLUMN(NAS1352First[Chamfer or Radius Max]),FALSE)</f>
        <v>8.0000000000000002E-3</v>
      </c>
      <c r="P87" s="8" cm="1">
        <f t="array" ref="P87">VLOOKUP($B87,NAS1352First[],COLUMN(NAS1352First[Minimum Basic Thread Length]),FALSE)</f>
        <v>1.125</v>
      </c>
      <c r="Q87" s="8" cm="1">
        <f t="array" ref="Q87">VLOOKUP($B87,NAS1352First[],COLUMN(NAS1352First[Drilled Hole Location Max]),FALSE)</f>
        <v>0.104</v>
      </c>
      <c r="R87" s="8" cm="1">
        <f t="array" ref="R87">VLOOKUP($B87,NAS1352First[],COLUMN(NAS1352First[Drilled Hole Location Min]),FALSE)</f>
        <v>8.4000000000000005E-2</v>
      </c>
      <c r="S87" s="8" cm="1">
        <f t="array" ref="S87">VLOOKUP($B87,NAS1352First[],COLUMN(NAS1352First[Drilled Hole Diameter Max]),FALSE)</f>
        <v>0.05</v>
      </c>
      <c r="T87" s="8" cm="1">
        <f t="array" ref="T87">VLOOKUP($B87,NAS1352First[],COLUMN(NAS1352First[Drilled Hole Diameter Min]),FALSE)</f>
        <v>4.3999999999999997E-2</v>
      </c>
      <c r="U87" s="8" cm="1">
        <f t="array" ref="U87">VLOOKUP($B87,NAS1352First[],COLUMN(NAS1352First[Alloy Steel Minimum Breaking Strength (lb)]),FALSE)</f>
        <v>9400</v>
      </c>
      <c r="V87" s="8" cm="1">
        <f t="array" ref="V87">VLOOKUP($B87,NAS1352First[],COLUMN(NAS1352First[Corrosion Resistant Steel Minimum Breaking Strength (lb)]),FALSE)</f>
        <v>4190</v>
      </c>
      <c r="W87" s="17" cm="1">
        <f t="array" ref="W87">VLOOKUP($B87,NAS1352First[],COLUMN(NAS1352First[Heat Resistant Steel Minimum Breaking Strength (lb)]),FALSE)</f>
        <v>8380</v>
      </c>
    </row>
    <row r="88" spans="1:23" x14ac:dyDescent="0.25">
      <c r="A88" s="15" t="s">
        <v>605</v>
      </c>
      <c r="B88" s="8" t="str">
        <f t="shared" ref="B88:B151" si="4">LEFT(RIGHT(A88,LEN(A88)-SEARCH("-",A88)),SEARCH("~*",RIGHT(A88,LEN(A88)-SEARCH("-",A88)))-1)</f>
        <v>5</v>
      </c>
      <c r="C88" s="8">
        <f t="shared" si="3"/>
        <v>2.5</v>
      </c>
      <c r="D88" s="8" t="str" cm="1">
        <f t="array" ref="D88">VLOOKUP($B88,NAS1352First[],COLUMN(NAS1352First[Thread Size]),FALSE)</f>
        <v>5⁄16-18 or 0.3125-18 UNC CLASS 3</v>
      </c>
      <c r="E88" s="8" cm="1">
        <f t="array" ref="E88">VLOOKUP($B88,NAS1352First[],COLUMN(NAS1352First[Body Diameter Max]),FALSE)</f>
        <v>0.3125</v>
      </c>
      <c r="F88" s="8" cm="1">
        <f t="array" ref="F88">VLOOKUP($B88,NAS1352First[],COLUMN(NAS1352First[Body Diameter Max2]),FALSE)</f>
        <v>0.30530000000000002</v>
      </c>
      <c r="G88" s="8" cm="1">
        <f t="array" ref="G88">VLOOKUP($B88,NAS1352First[],COLUMN(NAS1352First[Head Diameter Max]),FALSE)</f>
        <v>0.46899999999999997</v>
      </c>
      <c r="H88" s="8" cm="1">
        <f t="array" ref="H88">VLOOKUP($B88,NAS1352First[],COLUMN(NAS1352First[Head Diameter Min]),FALSE)</f>
        <v>0.45700000000000002</v>
      </c>
      <c r="I88" s="8" cm="1">
        <f t="array" ref="I88">VLOOKUP($B88,NAS1352First[],COLUMN(NAS1352First[Head Height Max]),FALSE)</f>
        <v>0.312</v>
      </c>
      <c r="J88" s="8" cm="1">
        <f t="array" ref="J88">VLOOKUP($B88,NAS1352First[],COLUMN(NAS1352First[Head Height Min]),FALSE)</f>
        <v>0.30599999999999999</v>
      </c>
      <c r="K88" s="8" cm="1">
        <f t="array" ref="K88">VLOOKUP($B88,NAS1352First[],COLUMN(NAS1352First[Head Side Height Min]),FALSE)</f>
        <v>0.28100000000000003</v>
      </c>
      <c r="L88" s="8" cm="1">
        <f t="array" ref="L88">VLOOKUP($B88,NAS1352First[],COLUMN(NAS1352First[Nominal Socket Size]),FALSE)</f>
        <v>0.25</v>
      </c>
      <c r="M88" s="8" cm="1">
        <f t="array" ref="M88">VLOOKUP($B88,NAS1352First[],COLUMN(NAS1352First[Key Engagement Min]),FALSE)</f>
        <v>0.151</v>
      </c>
      <c r="N88" s="8" cm="1">
        <f t="array" ref="N88">VLOOKUP($B88,NAS1352First[],COLUMN(NAS1352First[Wall Thickness Min]),FALSE)</f>
        <v>0.11899999999999999</v>
      </c>
      <c r="O88" s="8" cm="1">
        <f t="array" ref="O88">VLOOKUP($B88,NAS1352First[],COLUMN(NAS1352First[Chamfer or Radius Max]),FALSE)</f>
        <v>8.0000000000000002E-3</v>
      </c>
      <c r="P88" s="8" cm="1">
        <f t="array" ref="P88">VLOOKUP($B88,NAS1352First[],COLUMN(NAS1352First[Minimum Basic Thread Length]),FALSE)</f>
        <v>1.125</v>
      </c>
      <c r="Q88" s="8" cm="1">
        <f t="array" ref="Q88">VLOOKUP($B88,NAS1352First[],COLUMN(NAS1352First[Drilled Hole Location Max]),FALSE)</f>
        <v>0.104</v>
      </c>
      <c r="R88" s="8" cm="1">
        <f t="array" ref="R88">VLOOKUP($B88,NAS1352First[],COLUMN(NAS1352First[Drilled Hole Location Min]),FALSE)</f>
        <v>8.4000000000000005E-2</v>
      </c>
      <c r="S88" s="8" cm="1">
        <f t="array" ref="S88">VLOOKUP($B88,NAS1352First[],COLUMN(NAS1352First[Drilled Hole Diameter Max]),FALSE)</f>
        <v>0.05</v>
      </c>
      <c r="T88" s="8" cm="1">
        <f t="array" ref="T88">VLOOKUP($B88,NAS1352First[],COLUMN(NAS1352First[Drilled Hole Diameter Min]),FALSE)</f>
        <v>4.3999999999999997E-2</v>
      </c>
      <c r="U88" s="8" cm="1">
        <f t="array" ref="U88">VLOOKUP($B88,NAS1352First[],COLUMN(NAS1352First[Alloy Steel Minimum Breaking Strength (lb)]),FALSE)</f>
        <v>9400</v>
      </c>
      <c r="V88" s="8" cm="1">
        <f t="array" ref="V88">VLOOKUP($B88,NAS1352First[],COLUMN(NAS1352First[Corrosion Resistant Steel Minimum Breaking Strength (lb)]),FALSE)</f>
        <v>4190</v>
      </c>
      <c r="W88" s="17" cm="1">
        <f t="array" ref="W88">VLOOKUP($B88,NAS1352First[],COLUMN(NAS1352First[Heat Resistant Steel Minimum Breaking Strength (lb)]),FALSE)</f>
        <v>8380</v>
      </c>
    </row>
    <row r="89" spans="1:23" x14ac:dyDescent="0.25">
      <c r="A89" s="15" t="s">
        <v>606</v>
      </c>
      <c r="B89" s="8" t="str">
        <f t="shared" si="4"/>
        <v>6</v>
      </c>
      <c r="C89" s="8">
        <f t="shared" si="3"/>
        <v>0.5</v>
      </c>
      <c r="D89" s="8" t="str" cm="1">
        <f t="array" ref="D89">VLOOKUP($B89,NAS1352First[],COLUMN(NAS1352First[Thread Size]),FALSE)</f>
        <v>3⁄8-16 or 0.3750-16 UNC CLASS 3</v>
      </c>
      <c r="E89" s="8" cm="1">
        <f t="array" ref="E89">VLOOKUP($B89,NAS1352First[],COLUMN(NAS1352First[Body Diameter Max]),FALSE)</f>
        <v>0.375</v>
      </c>
      <c r="F89" s="8" cm="1">
        <f t="array" ref="F89">VLOOKUP($B89,NAS1352First[],COLUMN(NAS1352First[Body Diameter Max2]),FALSE)</f>
        <v>0.36780000000000002</v>
      </c>
      <c r="G89" s="8" cm="1">
        <f t="array" ref="G89">VLOOKUP($B89,NAS1352First[],COLUMN(NAS1352First[Head Diameter Max]),FALSE)</f>
        <v>0.56200000000000006</v>
      </c>
      <c r="H89" s="8" cm="1">
        <f t="array" ref="H89">VLOOKUP($B89,NAS1352First[],COLUMN(NAS1352First[Head Diameter Min]),FALSE)</f>
        <v>0.55000000000000004</v>
      </c>
      <c r="I89" s="8" cm="1">
        <f t="array" ref="I89">VLOOKUP($B89,NAS1352First[],COLUMN(NAS1352First[Head Height Max]),FALSE)</f>
        <v>0.375</v>
      </c>
      <c r="J89" s="8" cm="1">
        <f t="array" ref="J89">VLOOKUP($B89,NAS1352First[],COLUMN(NAS1352First[Head Height Min]),FALSE)</f>
        <v>0.36799999999999999</v>
      </c>
      <c r="K89" s="8" cm="1">
        <f t="array" ref="K89">VLOOKUP($B89,NAS1352First[],COLUMN(NAS1352First[Head Side Height Min]),FALSE)</f>
        <v>0.33700000000000002</v>
      </c>
      <c r="L89" s="8" cm="1">
        <f t="array" ref="L89">VLOOKUP($B89,NAS1352First[],COLUMN(NAS1352First[Nominal Socket Size]),FALSE)</f>
        <v>0.312</v>
      </c>
      <c r="M89" s="8" cm="1">
        <f t="array" ref="M89">VLOOKUP($B89,NAS1352First[],COLUMN(NAS1352First[Key Engagement Min]),FALSE)</f>
        <v>0.182</v>
      </c>
      <c r="N89" s="8" cm="1">
        <f t="array" ref="N89">VLOOKUP($B89,NAS1352First[],COLUMN(NAS1352First[Wall Thickness Min]),FALSE)</f>
        <v>0.14299999999999999</v>
      </c>
      <c r="O89" s="8" cm="1">
        <f t="array" ref="O89">VLOOKUP($B89,NAS1352First[],COLUMN(NAS1352First[Chamfer or Radius Max]),FALSE)</f>
        <v>8.0000000000000002E-3</v>
      </c>
      <c r="P89" s="8" cm="1">
        <f t="array" ref="P89">VLOOKUP($B89,NAS1352First[],COLUMN(NAS1352First[Minimum Basic Thread Length]),FALSE)</f>
        <v>1.25</v>
      </c>
      <c r="Q89" s="8" cm="1">
        <f t="array" ref="Q89">VLOOKUP($B89,NAS1352First[],COLUMN(NAS1352First[Drilled Hole Location Max]),FALSE)</f>
        <v>0.123</v>
      </c>
      <c r="R89" s="8" cm="1">
        <f t="array" ref="R89">VLOOKUP($B89,NAS1352First[],COLUMN(NAS1352First[Drilled Hole Location Min]),FALSE)</f>
        <v>0.10299999999999999</v>
      </c>
      <c r="S89" s="8" cm="1">
        <f t="array" ref="S89">VLOOKUP($B89,NAS1352First[],COLUMN(NAS1352First[Drilled Hole Diameter Max]),FALSE)</f>
        <v>6.7000000000000004E-2</v>
      </c>
      <c r="T89" s="8" cm="1">
        <f t="array" ref="T89">VLOOKUP($B89,NAS1352First[],COLUMN(NAS1352First[Drilled Hole Diameter Min]),FALSE)</f>
        <v>6.0999999999999999E-2</v>
      </c>
      <c r="U89" s="8" cm="1">
        <f t="array" ref="U89">VLOOKUP($B89,NAS1352First[],COLUMN(NAS1352First[Alloy Steel Minimum Breaking Strength (lb)]),FALSE)</f>
        <v>13900</v>
      </c>
      <c r="V89" s="8" cm="1">
        <f t="array" ref="V89">VLOOKUP($B89,NAS1352First[],COLUMN(NAS1352First[Corrosion Resistant Steel Minimum Breaking Strength (lb)]),FALSE)</f>
        <v>6200</v>
      </c>
      <c r="W89" s="17" cm="1">
        <f t="array" ref="W89">VLOOKUP($B89,NAS1352First[],COLUMN(NAS1352First[Heat Resistant Steel Minimum Breaking Strength (lb)]),FALSE)</f>
        <v>12410</v>
      </c>
    </row>
    <row r="90" spans="1:23" x14ac:dyDescent="0.25">
      <c r="A90" s="15" t="s">
        <v>607</v>
      </c>
      <c r="B90" s="8" t="str">
        <f t="shared" si="4"/>
        <v>6</v>
      </c>
      <c r="C90" s="8">
        <f t="shared" si="3"/>
        <v>0.625</v>
      </c>
      <c r="D90" s="8" t="str" cm="1">
        <f t="array" ref="D90">VLOOKUP($B90,NAS1352First[],COLUMN(NAS1352First[Thread Size]),FALSE)</f>
        <v>3⁄8-16 or 0.3750-16 UNC CLASS 3</v>
      </c>
      <c r="E90" s="8" cm="1">
        <f t="array" ref="E90">VLOOKUP($B90,NAS1352First[],COLUMN(NAS1352First[Body Diameter Max]),FALSE)</f>
        <v>0.375</v>
      </c>
      <c r="F90" s="8" cm="1">
        <f t="array" ref="F90">VLOOKUP($B90,NAS1352First[],COLUMN(NAS1352First[Body Diameter Max2]),FALSE)</f>
        <v>0.36780000000000002</v>
      </c>
      <c r="G90" s="8" cm="1">
        <f t="array" ref="G90">VLOOKUP($B90,NAS1352First[],COLUMN(NAS1352First[Head Diameter Max]),FALSE)</f>
        <v>0.56200000000000006</v>
      </c>
      <c r="H90" s="8" cm="1">
        <f t="array" ref="H90">VLOOKUP($B90,NAS1352First[],COLUMN(NAS1352First[Head Diameter Min]),FALSE)</f>
        <v>0.55000000000000004</v>
      </c>
      <c r="I90" s="8" cm="1">
        <f t="array" ref="I90">VLOOKUP($B90,NAS1352First[],COLUMN(NAS1352First[Head Height Max]),FALSE)</f>
        <v>0.375</v>
      </c>
      <c r="J90" s="8" cm="1">
        <f t="array" ref="J90">VLOOKUP($B90,NAS1352First[],COLUMN(NAS1352First[Head Height Min]),FALSE)</f>
        <v>0.36799999999999999</v>
      </c>
      <c r="K90" s="8" cm="1">
        <f t="array" ref="K90">VLOOKUP($B90,NAS1352First[],COLUMN(NAS1352First[Head Side Height Min]),FALSE)</f>
        <v>0.33700000000000002</v>
      </c>
      <c r="L90" s="8" cm="1">
        <f t="array" ref="L90">VLOOKUP($B90,NAS1352First[],COLUMN(NAS1352First[Nominal Socket Size]),FALSE)</f>
        <v>0.312</v>
      </c>
      <c r="M90" s="8" cm="1">
        <f t="array" ref="M90">VLOOKUP($B90,NAS1352First[],COLUMN(NAS1352First[Key Engagement Min]),FALSE)</f>
        <v>0.182</v>
      </c>
      <c r="N90" s="8" cm="1">
        <f t="array" ref="N90">VLOOKUP($B90,NAS1352First[],COLUMN(NAS1352First[Wall Thickness Min]),FALSE)</f>
        <v>0.14299999999999999</v>
      </c>
      <c r="O90" s="8" cm="1">
        <f t="array" ref="O90">VLOOKUP($B90,NAS1352First[],COLUMN(NAS1352First[Chamfer or Radius Max]),FALSE)</f>
        <v>8.0000000000000002E-3</v>
      </c>
      <c r="P90" s="8" cm="1">
        <f t="array" ref="P90">VLOOKUP($B90,NAS1352First[],COLUMN(NAS1352First[Minimum Basic Thread Length]),FALSE)</f>
        <v>1.25</v>
      </c>
      <c r="Q90" s="8" cm="1">
        <f t="array" ref="Q90">VLOOKUP($B90,NAS1352First[],COLUMN(NAS1352First[Drilled Hole Location Max]),FALSE)</f>
        <v>0.123</v>
      </c>
      <c r="R90" s="8" cm="1">
        <f t="array" ref="R90">VLOOKUP($B90,NAS1352First[],COLUMN(NAS1352First[Drilled Hole Location Min]),FALSE)</f>
        <v>0.10299999999999999</v>
      </c>
      <c r="S90" s="8" cm="1">
        <f t="array" ref="S90">VLOOKUP($B90,NAS1352First[],COLUMN(NAS1352First[Drilled Hole Diameter Max]),FALSE)</f>
        <v>6.7000000000000004E-2</v>
      </c>
      <c r="T90" s="8" cm="1">
        <f t="array" ref="T90">VLOOKUP($B90,NAS1352First[],COLUMN(NAS1352First[Drilled Hole Diameter Min]),FALSE)</f>
        <v>6.0999999999999999E-2</v>
      </c>
      <c r="U90" s="8" cm="1">
        <f t="array" ref="U90">VLOOKUP($B90,NAS1352First[],COLUMN(NAS1352First[Alloy Steel Minimum Breaking Strength (lb)]),FALSE)</f>
        <v>13900</v>
      </c>
      <c r="V90" s="8" cm="1">
        <f t="array" ref="V90">VLOOKUP($B90,NAS1352First[],COLUMN(NAS1352First[Corrosion Resistant Steel Minimum Breaking Strength (lb)]),FALSE)</f>
        <v>6200</v>
      </c>
      <c r="W90" s="17" cm="1">
        <f t="array" ref="W90">VLOOKUP($B90,NAS1352First[],COLUMN(NAS1352First[Heat Resistant Steel Minimum Breaking Strength (lb)]),FALSE)</f>
        <v>12410</v>
      </c>
    </row>
    <row r="91" spans="1:23" x14ac:dyDescent="0.25">
      <c r="A91" s="15" t="s">
        <v>608</v>
      </c>
      <c r="B91" s="8" t="str">
        <f t="shared" si="4"/>
        <v>6</v>
      </c>
      <c r="C91" s="8">
        <f t="shared" si="3"/>
        <v>0.75</v>
      </c>
      <c r="D91" s="8" t="str" cm="1">
        <f t="array" ref="D91">VLOOKUP($B91,NAS1352First[],COLUMN(NAS1352First[Thread Size]),FALSE)</f>
        <v>3⁄8-16 or 0.3750-16 UNC CLASS 3</v>
      </c>
      <c r="E91" s="8" cm="1">
        <f t="array" ref="E91">VLOOKUP($B91,NAS1352First[],COLUMN(NAS1352First[Body Diameter Max]),FALSE)</f>
        <v>0.375</v>
      </c>
      <c r="F91" s="8" cm="1">
        <f t="array" ref="F91">VLOOKUP($B91,NAS1352First[],COLUMN(NAS1352First[Body Diameter Max2]),FALSE)</f>
        <v>0.36780000000000002</v>
      </c>
      <c r="G91" s="8" cm="1">
        <f t="array" ref="G91">VLOOKUP($B91,NAS1352First[],COLUMN(NAS1352First[Head Diameter Max]),FALSE)</f>
        <v>0.56200000000000006</v>
      </c>
      <c r="H91" s="8" cm="1">
        <f t="array" ref="H91">VLOOKUP($B91,NAS1352First[],COLUMN(NAS1352First[Head Diameter Min]),FALSE)</f>
        <v>0.55000000000000004</v>
      </c>
      <c r="I91" s="8" cm="1">
        <f t="array" ref="I91">VLOOKUP($B91,NAS1352First[],COLUMN(NAS1352First[Head Height Max]),FALSE)</f>
        <v>0.375</v>
      </c>
      <c r="J91" s="8" cm="1">
        <f t="array" ref="J91">VLOOKUP($B91,NAS1352First[],COLUMN(NAS1352First[Head Height Min]),FALSE)</f>
        <v>0.36799999999999999</v>
      </c>
      <c r="K91" s="8" cm="1">
        <f t="array" ref="K91">VLOOKUP($B91,NAS1352First[],COLUMN(NAS1352First[Head Side Height Min]),FALSE)</f>
        <v>0.33700000000000002</v>
      </c>
      <c r="L91" s="8" cm="1">
        <f t="array" ref="L91">VLOOKUP($B91,NAS1352First[],COLUMN(NAS1352First[Nominal Socket Size]),FALSE)</f>
        <v>0.312</v>
      </c>
      <c r="M91" s="8" cm="1">
        <f t="array" ref="M91">VLOOKUP($B91,NAS1352First[],COLUMN(NAS1352First[Key Engagement Min]),FALSE)</f>
        <v>0.182</v>
      </c>
      <c r="N91" s="8" cm="1">
        <f t="array" ref="N91">VLOOKUP($B91,NAS1352First[],COLUMN(NAS1352First[Wall Thickness Min]),FALSE)</f>
        <v>0.14299999999999999</v>
      </c>
      <c r="O91" s="8" cm="1">
        <f t="array" ref="O91">VLOOKUP($B91,NAS1352First[],COLUMN(NAS1352First[Chamfer or Radius Max]),FALSE)</f>
        <v>8.0000000000000002E-3</v>
      </c>
      <c r="P91" s="8" cm="1">
        <f t="array" ref="P91">VLOOKUP($B91,NAS1352First[],COLUMN(NAS1352First[Minimum Basic Thread Length]),FALSE)</f>
        <v>1.25</v>
      </c>
      <c r="Q91" s="8" cm="1">
        <f t="array" ref="Q91">VLOOKUP($B91,NAS1352First[],COLUMN(NAS1352First[Drilled Hole Location Max]),FALSE)</f>
        <v>0.123</v>
      </c>
      <c r="R91" s="8" cm="1">
        <f t="array" ref="R91">VLOOKUP($B91,NAS1352First[],COLUMN(NAS1352First[Drilled Hole Location Min]),FALSE)</f>
        <v>0.10299999999999999</v>
      </c>
      <c r="S91" s="8" cm="1">
        <f t="array" ref="S91">VLOOKUP($B91,NAS1352First[],COLUMN(NAS1352First[Drilled Hole Diameter Max]),FALSE)</f>
        <v>6.7000000000000004E-2</v>
      </c>
      <c r="T91" s="8" cm="1">
        <f t="array" ref="T91">VLOOKUP($B91,NAS1352First[],COLUMN(NAS1352First[Drilled Hole Diameter Min]),FALSE)</f>
        <v>6.0999999999999999E-2</v>
      </c>
      <c r="U91" s="8" cm="1">
        <f t="array" ref="U91">VLOOKUP($B91,NAS1352First[],COLUMN(NAS1352First[Alloy Steel Minimum Breaking Strength (lb)]),FALSE)</f>
        <v>13900</v>
      </c>
      <c r="V91" s="8" cm="1">
        <f t="array" ref="V91">VLOOKUP($B91,NAS1352First[],COLUMN(NAS1352First[Corrosion Resistant Steel Minimum Breaking Strength (lb)]),FALSE)</f>
        <v>6200</v>
      </c>
      <c r="W91" s="17" cm="1">
        <f t="array" ref="W91">VLOOKUP($B91,NAS1352First[],COLUMN(NAS1352First[Heat Resistant Steel Minimum Breaking Strength (lb)]),FALSE)</f>
        <v>12410</v>
      </c>
    </row>
    <row r="92" spans="1:23" x14ac:dyDescent="0.25">
      <c r="A92" s="15" t="s">
        <v>609</v>
      </c>
      <c r="B92" s="8" t="str">
        <f t="shared" si="4"/>
        <v>6</v>
      </c>
      <c r="C92" s="8">
        <f t="shared" si="3"/>
        <v>0.875</v>
      </c>
      <c r="D92" s="8" t="str" cm="1">
        <f t="array" ref="D92">VLOOKUP($B92,NAS1352First[],COLUMN(NAS1352First[Thread Size]),FALSE)</f>
        <v>3⁄8-16 or 0.3750-16 UNC CLASS 3</v>
      </c>
      <c r="E92" s="8" cm="1">
        <f t="array" ref="E92">VLOOKUP($B92,NAS1352First[],COLUMN(NAS1352First[Body Diameter Max]),FALSE)</f>
        <v>0.375</v>
      </c>
      <c r="F92" s="8" cm="1">
        <f t="array" ref="F92">VLOOKUP($B92,NAS1352First[],COLUMN(NAS1352First[Body Diameter Max2]),FALSE)</f>
        <v>0.36780000000000002</v>
      </c>
      <c r="G92" s="8" cm="1">
        <f t="array" ref="G92">VLOOKUP($B92,NAS1352First[],COLUMN(NAS1352First[Head Diameter Max]),FALSE)</f>
        <v>0.56200000000000006</v>
      </c>
      <c r="H92" s="8" cm="1">
        <f t="array" ref="H92">VLOOKUP($B92,NAS1352First[],COLUMN(NAS1352First[Head Diameter Min]),FALSE)</f>
        <v>0.55000000000000004</v>
      </c>
      <c r="I92" s="8" cm="1">
        <f t="array" ref="I92">VLOOKUP($B92,NAS1352First[],COLUMN(NAS1352First[Head Height Max]),FALSE)</f>
        <v>0.375</v>
      </c>
      <c r="J92" s="8" cm="1">
        <f t="array" ref="J92">VLOOKUP($B92,NAS1352First[],COLUMN(NAS1352First[Head Height Min]),FALSE)</f>
        <v>0.36799999999999999</v>
      </c>
      <c r="K92" s="8" cm="1">
        <f t="array" ref="K92">VLOOKUP($B92,NAS1352First[],COLUMN(NAS1352First[Head Side Height Min]),FALSE)</f>
        <v>0.33700000000000002</v>
      </c>
      <c r="L92" s="8" cm="1">
        <f t="array" ref="L92">VLOOKUP($B92,NAS1352First[],COLUMN(NAS1352First[Nominal Socket Size]),FALSE)</f>
        <v>0.312</v>
      </c>
      <c r="M92" s="8" cm="1">
        <f t="array" ref="M92">VLOOKUP($B92,NAS1352First[],COLUMN(NAS1352First[Key Engagement Min]),FALSE)</f>
        <v>0.182</v>
      </c>
      <c r="N92" s="8" cm="1">
        <f t="array" ref="N92">VLOOKUP($B92,NAS1352First[],COLUMN(NAS1352First[Wall Thickness Min]),FALSE)</f>
        <v>0.14299999999999999</v>
      </c>
      <c r="O92" s="8" cm="1">
        <f t="array" ref="O92">VLOOKUP($B92,NAS1352First[],COLUMN(NAS1352First[Chamfer or Radius Max]),FALSE)</f>
        <v>8.0000000000000002E-3</v>
      </c>
      <c r="P92" s="8" cm="1">
        <f t="array" ref="P92">VLOOKUP($B92,NAS1352First[],COLUMN(NAS1352First[Minimum Basic Thread Length]),FALSE)</f>
        <v>1.25</v>
      </c>
      <c r="Q92" s="8" cm="1">
        <f t="array" ref="Q92">VLOOKUP($B92,NAS1352First[],COLUMN(NAS1352First[Drilled Hole Location Max]),FALSE)</f>
        <v>0.123</v>
      </c>
      <c r="R92" s="8" cm="1">
        <f t="array" ref="R92">VLOOKUP($B92,NAS1352First[],COLUMN(NAS1352First[Drilled Hole Location Min]),FALSE)</f>
        <v>0.10299999999999999</v>
      </c>
      <c r="S92" s="8" cm="1">
        <f t="array" ref="S92">VLOOKUP($B92,NAS1352First[],COLUMN(NAS1352First[Drilled Hole Diameter Max]),FALSE)</f>
        <v>6.7000000000000004E-2</v>
      </c>
      <c r="T92" s="8" cm="1">
        <f t="array" ref="T92">VLOOKUP($B92,NAS1352First[],COLUMN(NAS1352First[Drilled Hole Diameter Min]),FALSE)</f>
        <v>6.0999999999999999E-2</v>
      </c>
      <c r="U92" s="8" cm="1">
        <f t="array" ref="U92">VLOOKUP($B92,NAS1352First[],COLUMN(NAS1352First[Alloy Steel Minimum Breaking Strength (lb)]),FALSE)</f>
        <v>13900</v>
      </c>
      <c r="V92" s="8" cm="1">
        <f t="array" ref="V92">VLOOKUP($B92,NAS1352First[],COLUMN(NAS1352First[Corrosion Resistant Steel Minimum Breaking Strength (lb)]),FALSE)</f>
        <v>6200</v>
      </c>
      <c r="W92" s="17" cm="1">
        <f t="array" ref="W92">VLOOKUP($B92,NAS1352First[],COLUMN(NAS1352First[Heat Resistant Steel Minimum Breaking Strength (lb)]),FALSE)</f>
        <v>12410</v>
      </c>
    </row>
    <row r="93" spans="1:23" x14ac:dyDescent="0.25">
      <c r="A93" s="15" t="s">
        <v>610</v>
      </c>
      <c r="B93" s="8" t="str">
        <f t="shared" si="4"/>
        <v>6</v>
      </c>
      <c r="C93" s="8">
        <f t="shared" si="3"/>
        <v>1</v>
      </c>
      <c r="D93" s="8" t="str" cm="1">
        <f t="array" ref="D93">VLOOKUP($B93,NAS1352First[],COLUMN(NAS1352First[Thread Size]),FALSE)</f>
        <v>3⁄8-16 or 0.3750-16 UNC CLASS 3</v>
      </c>
      <c r="E93" s="8" cm="1">
        <f t="array" ref="E93">VLOOKUP($B93,NAS1352First[],COLUMN(NAS1352First[Body Diameter Max]),FALSE)</f>
        <v>0.375</v>
      </c>
      <c r="F93" s="8" cm="1">
        <f t="array" ref="F93">VLOOKUP($B93,NAS1352First[],COLUMN(NAS1352First[Body Diameter Max2]),FALSE)</f>
        <v>0.36780000000000002</v>
      </c>
      <c r="G93" s="8" cm="1">
        <f t="array" ref="G93">VLOOKUP($B93,NAS1352First[],COLUMN(NAS1352First[Head Diameter Max]),FALSE)</f>
        <v>0.56200000000000006</v>
      </c>
      <c r="H93" s="8" cm="1">
        <f t="array" ref="H93">VLOOKUP($B93,NAS1352First[],COLUMN(NAS1352First[Head Diameter Min]),FALSE)</f>
        <v>0.55000000000000004</v>
      </c>
      <c r="I93" s="8" cm="1">
        <f t="array" ref="I93">VLOOKUP($B93,NAS1352First[],COLUMN(NAS1352First[Head Height Max]),FALSE)</f>
        <v>0.375</v>
      </c>
      <c r="J93" s="8" cm="1">
        <f t="array" ref="J93">VLOOKUP($B93,NAS1352First[],COLUMN(NAS1352First[Head Height Min]),FALSE)</f>
        <v>0.36799999999999999</v>
      </c>
      <c r="K93" s="8" cm="1">
        <f t="array" ref="K93">VLOOKUP($B93,NAS1352First[],COLUMN(NAS1352First[Head Side Height Min]),FALSE)</f>
        <v>0.33700000000000002</v>
      </c>
      <c r="L93" s="8" cm="1">
        <f t="array" ref="L93">VLOOKUP($B93,NAS1352First[],COLUMN(NAS1352First[Nominal Socket Size]),FALSE)</f>
        <v>0.312</v>
      </c>
      <c r="M93" s="8" cm="1">
        <f t="array" ref="M93">VLOOKUP($B93,NAS1352First[],COLUMN(NAS1352First[Key Engagement Min]),FALSE)</f>
        <v>0.182</v>
      </c>
      <c r="N93" s="8" cm="1">
        <f t="array" ref="N93">VLOOKUP($B93,NAS1352First[],COLUMN(NAS1352First[Wall Thickness Min]),FALSE)</f>
        <v>0.14299999999999999</v>
      </c>
      <c r="O93" s="8" cm="1">
        <f t="array" ref="O93">VLOOKUP($B93,NAS1352First[],COLUMN(NAS1352First[Chamfer or Radius Max]),FALSE)</f>
        <v>8.0000000000000002E-3</v>
      </c>
      <c r="P93" s="8" cm="1">
        <f t="array" ref="P93">VLOOKUP($B93,NAS1352First[],COLUMN(NAS1352First[Minimum Basic Thread Length]),FALSE)</f>
        <v>1.25</v>
      </c>
      <c r="Q93" s="8" cm="1">
        <f t="array" ref="Q93">VLOOKUP($B93,NAS1352First[],COLUMN(NAS1352First[Drilled Hole Location Max]),FALSE)</f>
        <v>0.123</v>
      </c>
      <c r="R93" s="8" cm="1">
        <f t="array" ref="R93">VLOOKUP($B93,NAS1352First[],COLUMN(NAS1352First[Drilled Hole Location Min]),FALSE)</f>
        <v>0.10299999999999999</v>
      </c>
      <c r="S93" s="8" cm="1">
        <f t="array" ref="S93">VLOOKUP($B93,NAS1352First[],COLUMN(NAS1352First[Drilled Hole Diameter Max]),FALSE)</f>
        <v>6.7000000000000004E-2</v>
      </c>
      <c r="T93" s="8" cm="1">
        <f t="array" ref="T93">VLOOKUP($B93,NAS1352First[],COLUMN(NAS1352First[Drilled Hole Diameter Min]),FALSE)</f>
        <v>6.0999999999999999E-2</v>
      </c>
      <c r="U93" s="8" cm="1">
        <f t="array" ref="U93">VLOOKUP($B93,NAS1352First[],COLUMN(NAS1352First[Alloy Steel Minimum Breaking Strength (lb)]),FALSE)</f>
        <v>13900</v>
      </c>
      <c r="V93" s="8" cm="1">
        <f t="array" ref="V93">VLOOKUP($B93,NAS1352First[],COLUMN(NAS1352First[Corrosion Resistant Steel Minimum Breaking Strength (lb)]),FALSE)</f>
        <v>6200</v>
      </c>
      <c r="W93" s="17" cm="1">
        <f t="array" ref="W93">VLOOKUP($B93,NAS1352First[],COLUMN(NAS1352First[Heat Resistant Steel Minimum Breaking Strength (lb)]),FALSE)</f>
        <v>12410</v>
      </c>
    </row>
    <row r="94" spans="1:23" x14ac:dyDescent="0.25">
      <c r="A94" s="15" t="s">
        <v>611</v>
      </c>
      <c r="B94" s="8" t="str">
        <f t="shared" si="4"/>
        <v>6</v>
      </c>
      <c r="C94" s="8">
        <f t="shared" si="3"/>
        <v>1.25</v>
      </c>
      <c r="D94" s="8" t="str" cm="1">
        <f t="array" ref="D94">VLOOKUP($B94,NAS1352First[],COLUMN(NAS1352First[Thread Size]),FALSE)</f>
        <v>3⁄8-16 or 0.3750-16 UNC CLASS 3</v>
      </c>
      <c r="E94" s="8" cm="1">
        <f t="array" ref="E94">VLOOKUP($B94,NAS1352First[],COLUMN(NAS1352First[Body Diameter Max]),FALSE)</f>
        <v>0.375</v>
      </c>
      <c r="F94" s="8" cm="1">
        <f t="array" ref="F94">VLOOKUP($B94,NAS1352First[],COLUMN(NAS1352First[Body Diameter Max2]),FALSE)</f>
        <v>0.36780000000000002</v>
      </c>
      <c r="G94" s="8" cm="1">
        <f t="array" ref="G94">VLOOKUP($B94,NAS1352First[],COLUMN(NAS1352First[Head Diameter Max]),FALSE)</f>
        <v>0.56200000000000006</v>
      </c>
      <c r="H94" s="8" cm="1">
        <f t="array" ref="H94">VLOOKUP($B94,NAS1352First[],COLUMN(NAS1352First[Head Diameter Min]),FALSE)</f>
        <v>0.55000000000000004</v>
      </c>
      <c r="I94" s="8" cm="1">
        <f t="array" ref="I94">VLOOKUP($B94,NAS1352First[],COLUMN(NAS1352First[Head Height Max]),FALSE)</f>
        <v>0.375</v>
      </c>
      <c r="J94" s="8" cm="1">
        <f t="array" ref="J94">VLOOKUP($B94,NAS1352First[],COLUMN(NAS1352First[Head Height Min]),FALSE)</f>
        <v>0.36799999999999999</v>
      </c>
      <c r="K94" s="8" cm="1">
        <f t="array" ref="K94">VLOOKUP($B94,NAS1352First[],COLUMN(NAS1352First[Head Side Height Min]),FALSE)</f>
        <v>0.33700000000000002</v>
      </c>
      <c r="L94" s="8" cm="1">
        <f t="array" ref="L94">VLOOKUP($B94,NAS1352First[],COLUMN(NAS1352First[Nominal Socket Size]),FALSE)</f>
        <v>0.312</v>
      </c>
      <c r="M94" s="8" cm="1">
        <f t="array" ref="M94">VLOOKUP($B94,NAS1352First[],COLUMN(NAS1352First[Key Engagement Min]),FALSE)</f>
        <v>0.182</v>
      </c>
      <c r="N94" s="8" cm="1">
        <f t="array" ref="N94">VLOOKUP($B94,NAS1352First[],COLUMN(NAS1352First[Wall Thickness Min]),FALSE)</f>
        <v>0.14299999999999999</v>
      </c>
      <c r="O94" s="8" cm="1">
        <f t="array" ref="O94">VLOOKUP($B94,NAS1352First[],COLUMN(NAS1352First[Chamfer or Radius Max]),FALSE)</f>
        <v>8.0000000000000002E-3</v>
      </c>
      <c r="P94" s="8" cm="1">
        <f t="array" ref="P94">VLOOKUP($B94,NAS1352First[],COLUMN(NAS1352First[Minimum Basic Thread Length]),FALSE)</f>
        <v>1.25</v>
      </c>
      <c r="Q94" s="8" cm="1">
        <f t="array" ref="Q94">VLOOKUP($B94,NAS1352First[],COLUMN(NAS1352First[Drilled Hole Location Max]),FALSE)</f>
        <v>0.123</v>
      </c>
      <c r="R94" s="8" cm="1">
        <f t="array" ref="R94">VLOOKUP($B94,NAS1352First[],COLUMN(NAS1352First[Drilled Hole Location Min]),FALSE)</f>
        <v>0.10299999999999999</v>
      </c>
      <c r="S94" s="8" cm="1">
        <f t="array" ref="S94">VLOOKUP($B94,NAS1352First[],COLUMN(NAS1352First[Drilled Hole Diameter Max]),FALSE)</f>
        <v>6.7000000000000004E-2</v>
      </c>
      <c r="T94" s="8" cm="1">
        <f t="array" ref="T94">VLOOKUP($B94,NAS1352First[],COLUMN(NAS1352First[Drilled Hole Diameter Min]),FALSE)</f>
        <v>6.0999999999999999E-2</v>
      </c>
      <c r="U94" s="8" cm="1">
        <f t="array" ref="U94">VLOOKUP($B94,NAS1352First[],COLUMN(NAS1352First[Alloy Steel Minimum Breaking Strength (lb)]),FALSE)</f>
        <v>13900</v>
      </c>
      <c r="V94" s="8" cm="1">
        <f t="array" ref="V94">VLOOKUP($B94,NAS1352First[],COLUMN(NAS1352First[Corrosion Resistant Steel Minimum Breaking Strength (lb)]),FALSE)</f>
        <v>6200</v>
      </c>
      <c r="W94" s="17" cm="1">
        <f t="array" ref="W94">VLOOKUP($B94,NAS1352First[],COLUMN(NAS1352First[Heat Resistant Steel Minimum Breaking Strength (lb)]),FALSE)</f>
        <v>12410</v>
      </c>
    </row>
    <row r="95" spans="1:23" x14ac:dyDescent="0.25">
      <c r="A95" s="15" t="s">
        <v>612</v>
      </c>
      <c r="B95" s="8" t="str">
        <f t="shared" si="4"/>
        <v>6</v>
      </c>
      <c r="C95" s="8">
        <f t="shared" si="3"/>
        <v>1.5</v>
      </c>
      <c r="D95" s="8" t="str" cm="1">
        <f t="array" ref="D95">VLOOKUP($B95,NAS1352First[],COLUMN(NAS1352First[Thread Size]),FALSE)</f>
        <v>3⁄8-16 or 0.3750-16 UNC CLASS 3</v>
      </c>
      <c r="E95" s="8" cm="1">
        <f t="array" ref="E95">VLOOKUP($B95,NAS1352First[],COLUMN(NAS1352First[Body Diameter Max]),FALSE)</f>
        <v>0.375</v>
      </c>
      <c r="F95" s="8" cm="1">
        <f t="array" ref="F95">VLOOKUP($B95,NAS1352First[],COLUMN(NAS1352First[Body Diameter Max2]),FALSE)</f>
        <v>0.36780000000000002</v>
      </c>
      <c r="G95" s="8" cm="1">
        <f t="array" ref="G95">VLOOKUP($B95,NAS1352First[],COLUMN(NAS1352First[Head Diameter Max]),FALSE)</f>
        <v>0.56200000000000006</v>
      </c>
      <c r="H95" s="8" cm="1">
        <f t="array" ref="H95">VLOOKUP($B95,NAS1352First[],COLUMN(NAS1352First[Head Diameter Min]),FALSE)</f>
        <v>0.55000000000000004</v>
      </c>
      <c r="I95" s="8" cm="1">
        <f t="array" ref="I95">VLOOKUP($B95,NAS1352First[],COLUMN(NAS1352First[Head Height Max]),FALSE)</f>
        <v>0.375</v>
      </c>
      <c r="J95" s="8" cm="1">
        <f t="array" ref="J95">VLOOKUP($B95,NAS1352First[],COLUMN(NAS1352First[Head Height Min]),FALSE)</f>
        <v>0.36799999999999999</v>
      </c>
      <c r="K95" s="8" cm="1">
        <f t="array" ref="K95">VLOOKUP($B95,NAS1352First[],COLUMN(NAS1352First[Head Side Height Min]),FALSE)</f>
        <v>0.33700000000000002</v>
      </c>
      <c r="L95" s="8" cm="1">
        <f t="array" ref="L95">VLOOKUP($B95,NAS1352First[],COLUMN(NAS1352First[Nominal Socket Size]),FALSE)</f>
        <v>0.312</v>
      </c>
      <c r="M95" s="8" cm="1">
        <f t="array" ref="M95">VLOOKUP($B95,NAS1352First[],COLUMN(NAS1352First[Key Engagement Min]),FALSE)</f>
        <v>0.182</v>
      </c>
      <c r="N95" s="8" cm="1">
        <f t="array" ref="N95">VLOOKUP($B95,NAS1352First[],COLUMN(NAS1352First[Wall Thickness Min]),FALSE)</f>
        <v>0.14299999999999999</v>
      </c>
      <c r="O95" s="8" cm="1">
        <f t="array" ref="O95">VLOOKUP($B95,NAS1352First[],COLUMN(NAS1352First[Chamfer or Radius Max]),FALSE)</f>
        <v>8.0000000000000002E-3</v>
      </c>
      <c r="P95" s="8" cm="1">
        <f t="array" ref="P95">VLOOKUP($B95,NAS1352First[],COLUMN(NAS1352First[Minimum Basic Thread Length]),FALSE)</f>
        <v>1.25</v>
      </c>
      <c r="Q95" s="8" cm="1">
        <f t="array" ref="Q95">VLOOKUP($B95,NAS1352First[],COLUMN(NAS1352First[Drilled Hole Location Max]),FALSE)</f>
        <v>0.123</v>
      </c>
      <c r="R95" s="8" cm="1">
        <f t="array" ref="R95">VLOOKUP($B95,NAS1352First[],COLUMN(NAS1352First[Drilled Hole Location Min]),FALSE)</f>
        <v>0.10299999999999999</v>
      </c>
      <c r="S95" s="8" cm="1">
        <f t="array" ref="S95">VLOOKUP($B95,NAS1352First[],COLUMN(NAS1352First[Drilled Hole Diameter Max]),FALSE)</f>
        <v>6.7000000000000004E-2</v>
      </c>
      <c r="T95" s="8" cm="1">
        <f t="array" ref="T95">VLOOKUP($B95,NAS1352First[],COLUMN(NAS1352First[Drilled Hole Diameter Min]),FALSE)</f>
        <v>6.0999999999999999E-2</v>
      </c>
      <c r="U95" s="8" cm="1">
        <f t="array" ref="U95">VLOOKUP($B95,NAS1352First[],COLUMN(NAS1352First[Alloy Steel Minimum Breaking Strength (lb)]),FALSE)</f>
        <v>13900</v>
      </c>
      <c r="V95" s="8" cm="1">
        <f t="array" ref="V95">VLOOKUP($B95,NAS1352First[],COLUMN(NAS1352First[Corrosion Resistant Steel Minimum Breaking Strength (lb)]),FALSE)</f>
        <v>6200</v>
      </c>
      <c r="W95" s="17" cm="1">
        <f t="array" ref="W95">VLOOKUP($B95,NAS1352First[],COLUMN(NAS1352First[Heat Resistant Steel Minimum Breaking Strength (lb)]),FALSE)</f>
        <v>12410</v>
      </c>
    </row>
    <row r="96" spans="1:23" x14ac:dyDescent="0.25">
      <c r="A96" s="15" t="s">
        <v>613</v>
      </c>
      <c r="B96" s="8" t="str">
        <f t="shared" si="4"/>
        <v>6</v>
      </c>
      <c r="C96" s="8">
        <f t="shared" si="3"/>
        <v>1.75</v>
      </c>
      <c r="D96" s="8" t="str" cm="1">
        <f t="array" ref="D96">VLOOKUP($B96,NAS1352First[],COLUMN(NAS1352First[Thread Size]),FALSE)</f>
        <v>3⁄8-16 or 0.3750-16 UNC CLASS 3</v>
      </c>
      <c r="E96" s="8" cm="1">
        <f t="array" ref="E96">VLOOKUP($B96,NAS1352First[],COLUMN(NAS1352First[Body Diameter Max]),FALSE)</f>
        <v>0.375</v>
      </c>
      <c r="F96" s="8" cm="1">
        <f t="array" ref="F96">VLOOKUP($B96,NAS1352First[],COLUMN(NAS1352First[Body Diameter Max2]),FALSE)</f>
        <v>0.36780000000000002</v>
      </c>
      <c r="G96" s="8" cm="1">
        <f t="array" ref="G96">VLOOKUP($B96,NAS1352First[],COLUMN(NAS1352First[Head Diameter Max]),FALSE)</f>
        <v>0.56200000000000006</v>
      </c>
      <c r="H96" s="8" cm="1">
        <f t="array" ref="H96">VLOOKUP($B96,NAS1352First[],COLUMN(NAS1352First[Head Diameter Min]),FALSE)</f>
        <v>0.55000000000000004</v>
      </c>
      <c r="I96" s="8" cm="1">
        <f t="array" ref="I96">VLOOKUP($B96,NAS1352First[],COLUMN(NAS1352First[Head Height Max]),FALSE)</f>
        <v>0.375</v>
      </c>
      <c r="J96" s="8" cm="1">
        <f t="array" ref="J96">VLOOKUP($B96,NAS1352First[],COLUMN(NAS1352First[Head Height Min]),FALSE)</f>
        <v>0.36799999999999999</v>
      </c>
      <c r="K96" s="8" cm="1">
        <f t="array" ref="K96">VLOOKUP($B96,NAS1352First[],COLUMN(NAS1352First[Head Side Height Min]),FALSE)</f>
        <v>0.33700000000000002</v>
      </c>
      <c r="L96" s="8" cm="1">
        <f t="array" ref="L96">VLOOKUP($B96,NAS1352First[],COLUMN(NAS1352First[Nominal Socket Size]),FALSE)</f>
        <v>0.312</v>
      </c>
      <c r="M96" s="8" cm="1">
        <f t="array" ref="M96">VLOOKUP($B96,NAS1352First[],COLUMN(NAS1352First[Key Engagement Min]),FALSE)</f>
        <v>0.182</v>
      </c>
      <c r="N96" s="8" cm="1">
        <f t="array" ref="N96">VLOOKUP($B96,NAS1352First[],COLUMN(NAS1352First[Wall Thickness Min]),FALSE)</f>
        <v>0.14299999999999999</v>
      </c>
      <c r="O96" s="8" cm="1">
        <f t="array" ref="O96">VLOOKUP($B96,NAS1352First[],COLUMN(NAS1352First[Chamfer or Radius Max]),FALSE)</f>
        <v>8.0000000000000002E-3</v>
      </c>
      <c r="P96" s="8" cm="1">
        <f t="array" ref="P96">VLOOKUP($B96,NAS1352First[],COLUMN(NAS1352First[Minimum Basic Thread Length]),FALSE)</f>
        <v>1.25</v>
      </c>
      <c r="Q96" s="8" cm="1">
        <f t="array" ref="Q96">VLOOKUP($B96,NAS1352First[],COLUMN(NAS1352First[Drilled Hole Location Max]),FALSE)</f>
        <v>0.123</v>
      </c>
      <c r="R96" s="8" cm="1">
        <f t="array" ref="R96">VLOOKUP($B96,NAS1352First[],COLUMN(NAS1352First[Drilled Hole Location Min]),FALSE)</f>
        <v>0.10299999999999999</v>
      </c>
      <c r="S96" s="8" cm="1">
        <f t="array" ref="S96">VLOOKUP($B96,NAS1352First[],COLUMN(NAS1352First[Drilled Hole Diameter Max]),FALSE)</f>
        <v>6.7000000000000004E-2</v>
      </c>
      <c r="T96" s="8" cm="1">
        <f t="array" ref="T96">VLOOKUP($B96,NAS1352First[],COLUMN(NAS1352First[Drilled Hole Diameter Min]),FALSE)</f>
        <v>6.0999999999999999E-2</v>
      </c>
      <c r="U96" s="8" cm="1">
        <f t="array" ref="U96">VLOOKUP($B96,NAS1352First[],COLUMN(NAS1352First[Alloy Steel Minimum Breaking Strength (lb)]),FALSE)</f>
        <v>13900</v>
      </c>
      <c r="V96" s="8" cm="1">
        <f t="array" ref="V96">VLOOKUP($B96,NAS1352First[],COLUMN(NAS1352First[Corrosion Resistant Steel Minimum Breaking Strength (lb)]),FALSE)</f>
        <v>6200</v>
      </c>
      <c r="W96" s="17" cm="1">
        <f t="array" ref="W96">VLOOKUP($B96,NAS1352First[],COLUMN(NAS1352First[Heat Resistant Steel Minimum Breaking Strength (lb)]),FALSE)</f>
        <v>12410</v>
      </c>
    </row>
    <row r="97" spans="1:23" x14ac:dyDescent="0.25">
      <c r="A97" s="15" t="s">
        <v>614</v>
      </c>
      <c r="B97" s="8" t="str">
        <f t="shared" si="4"/>
        <v>6</v>
      </c>
      <c r="C97" s="8">
        <f t="shared" si="3"/>
        <v>2</v>
      </c>
      <c r="D97" s="8" t="str" cm="1">
        <f t="array" ref="D97">VLOOKUP($B97,NAS1352First[],COLUMN(NAS1352First[Thread Size]),FALSE)</f>
        <v>3⁄8-16 or 0.3750-16 UNC CLASS 3</v>
      </c>
      <c r="E97" s="8" cm="1">
        <f t="array" ref="E97">VLOOKUP($B97,NAS1352First[],COLUMN(NAS1352First[Body Diameter Max]),FALSE)</f>
        <v>0.375</v>
      </c>
      <c r="F97" s="8" cm="1">
        <f t="array" ref="F97">VLOOKUP($B97,NAS1352First[],COLUMN(NAS1352First[Body Diameter Max2]),FALSE)</f>
        <v>0.36780000000000002</v>
      </c>
      <c r="G97" s="8" cm="1">
        <f t="array" ref="G97">VLOOKUP($B97,NAS1352First[],COLUMN(NAS1352First[Head Diameter Max]),FALSE)</f>
        <v>0.56200000000000006</v>
      </c>
      <c r="H97" s="8" cm="1">
        <f t="array" ref="H97">VLOOKUP($B97,NAS1352First[],COLUMN(NAS1352First[Head Diameter Min]),FALSE)</f>
        <v>0.55000000000000004</v>
      </c>
      <c r="I97" s="8" cm="1">
        <f t="array" ref="I97">VLOOKUP($B97,NAS1352First[],COLUMN(NAS1352First[Head Height Max]),FALSE)</f>
        <v>0.375</v>
      </c>
      <c r="J97" s="8" cm="1">
        <f t="array" ref="J97">VLOOKUP($B97,NAS1352First[],COLUMN(NAS1352First[Head Height Min]),FALSE)</f>
        <v>0.36799999999999999</v>
      </c>
      <c r="K97" s="8" cm="1">
        <f t="array" ref="K97">VLOOKUP($B97,NAS1352First[],COLUMN(NAS1352First[Head Side Height Min]),FALSE)</f>
        <v>0.33700000000000002</v>
      </c>
      <c r="L97" s="8" cm="1">
        <f t="array" ref="L97">VLOOKUP($B97,NAS1352First[],COLUMN(NAS1352First[Nominal Socket Size]),FALSE)</f>
        <v>0.312</v>
      </c>
      <c r="M97" s="8" cm="1">
        <f t="array" ref="M97">VLOOKUP($B97,NAS1352First[],COLUMN(NAS1352First[Key Engagement Min]),FALSE)</f>
        <v>0.182</v>
      </c>
      <c r="N97" s="8" cm="1">
        <f t="array" ref="N97">VLOOKUP($B97,NAS1352First[],COLUMN(NAS1352First[Wall Thickness Min]),FALSE)</f>
        <v>0.14299999999999999</v>
      </c>
      <c r="O97" s="8" cm="1">
        <f t="array" ref="O97">VLOOKUP($B97,NAS1352First[],COLUMN(NAS1352First[Chamfer or Radius Max]),FALSE)</f>
        <v>8.0000000000000002E-3</v>
      </c>
      <c r="P97" s="8" cm="1">
        <f t="array" ref="P97">VLOOKUP($B97,NAS1352First[],COLUMN(NAS1352First[Minimum Basic Thread Length]),FALSE)</f>
        <v>1.25</v>
      </c>
      <c r="Q97" s="8" cm="1">
        <f t="array" ref="Q97">VLOOKUP($B97,NAS1352First[],COLUMN(NAS1352First[Drilled Hole Location Max]),FALSE)</f>
        <v>0.123</v>
      </c>
      <c r="R97" s="8" cm="1">
        <f t="array" ref="R97">VLOOKUP($B97,NAS1352First[],COLUMN(NAS1352First[Drilled Hole Location Min]),FALSE)</f>
        <v>0.10299999999999999</v>
      </c>
      <c r="S97" s="8" cm="1">
        <f t="array" ref="S97">VLOOKUP($B97,NAS1352First[],COLUMN(NAS1352First[Drilled Hole Diameter Max]),FALSE)</f>
        <v>6.7000000000000004E-2</v>
      </c>
      <c r="T97" s="8" cm="1">
        <f t="array" ref="T97">VLOOKUP($B97,NAS1352First[],COLUMN(NAS1352First[Drilled Hole Diameter Min]),FALSE)</f>
        <v>6.0999999999999999E-2</v>
      </c>
      <c r="U97" s="8" cm="1">
        <f t="array" ref="U97">VLOOKUP($B97,NAS1352First[],COLUMN(NAS1352First[Alloy Steel Minimum Breaking Strength (lb)]),FALSE)</f>
        <v>13900</v>
      </c>
      <c r="V97" s="8" cm="1">
        <f t="array" ref="V97">VLOOKUP($B97,NAS1352First[],COLUMN(NAS1352First[Corrosion Resistant Steel Minimum Breaking Strength (lb)]),FALSE)</f>
        <v>6200</v>
      </c>
      <c r="W97" s="17" cm="1">
        <f t="array" ref="W97">VLOOKUP($B97,NAS1352First[],COLUMN(NAS1352First[Heat Resistant Steel Minimum Breaking Strength (lb)]),FALSE)</f>
        <v>12410</v>
      </c>
    </row>
    <row r="98" spans="1:23" x14ac:dyDescent="0.25">
      <c r="A98" s="15" t="s">
        <v>615</v>
      </c>
      <c r="B98" s="8" t="str">
        <f t="shared" si="4"/>
        <v>6</v>
      </c>
      <c r="C98" s="8">
        <f t="shared" si="3"/>
        <v>2.25</v>
      </c>
      <c r="D98" s="8" t="str" cm="1">
        <f t="array" ref="D98">VLOOKUP($B98,NAS1352First[],COLUMN(NAS1352First[Thread Size]),FALSE)</f>
        <v>3⁄8-16 or 0.3750-16 UNC CLASS 3</v>
      </c>
      <c r="E98" s="8" cm="1">
        <f t="array" ref="E98">VLOOKUP($B98,NAS1352First[],COLUMN(NAS1352First[Body Diameter Max]),FALSE)</f>
        <v>0.375</v>
      </c>
      <c r="F98" s="8" cm="1">
        <f t="array" ref="F98">VLOOKUP($B98,NAS1352First[],COLUMN(NAS1352First[Body Diameter Max2]),FALSE)</f>
        <v>0.36780000000000002</v>
      </c>
      <c r="G98" s="8" cm="1">
        <f t="array" ref="G98">VLOOKUP($B98,NAS1352First[],COLUMN(NAS1352First[Head Diameter Max]),FALSE)</f>
        <v>0.56200000000000006</v>
      </c>
      <c r="H98" s="8" cm="1">
        <f t="array" ref="H98">VLOOKUP($B98,NAS1352First[],COLUMN(NAS1352First[Head Diameter Min]),FALSE)</f>
        <v>0.55000000000000004</v>
      </c>
      <c r="I98" s="8" cm="1">
        <f t="array" ref="I98">VLOOKUP($B98,NAS1352First[],COLUMN(NAS1352First[Head Height Max]),FALSE)</f>
        <v>0.375</v>
      </c>
      <c r="J98" s="8" cm="1">
        <f t="array" ref="J98">VLOOKUP($B98,NAS1352First[],COLUMN(NAS1352First[Head Height Min]),FALSE)</f>
        <v>0.36799999999999999</v>
      </c>
      <c r="K98" s="8" cm="1">
        <f t="array" ref="K98">VLOOKUP($B98,NAS1352First[],COLUMN(NAS1352First[Head Side Height Min]),FALSE)</f>
        <v>0.33700000000000002</v>
      </c>
      <c r="L98" s="8" cm="1">
        <f t="array" ref="L98">VLOOKUP($B98,NAS1352First[],COLUMN(NAS1352First[Nominal Socket Size]),FALSE)</f>
        <v>0.312</v>
      </c>
      <c r="M98" s="8" cm="1">
        <f t="array" ref="M98">VLOOKUP($B98,NAS1352First[],COLUMN(NAS1352First[Key Engagement Min]),FALSE)</f>
        <v>0.182</v>
      </c>
      <c r="N98" s="8" cm="1">
        <f t="array" ref="N98">VLOOKUP($B98,NAS1352First[],COLUMN(NAS1352First[Wall Thickness Min]),FALSE)</f>
        <v>0.14299999999999999</v>
      </c>
      <c r="O98" s="8" cm="1">
        <f t="array" ref="O98">VLOOKUP($B98,NAS1352First[],COLUMN(NAS1352First[Chamfer or Radius Max]),FALSE)</f>
        <v>8.0000000000000002E-3</v>
      </c>
      <c r="P98" s="8" cm="1">
        <f t="array" ref="P98">VLOOKUP($B98,NAS1352First[],COLUMN(NAS1352First[Minimum Basic Thread Length]),FALSE)</f>
        <v>1.25</v>
      </c>
      <c r="Q98" s="8" cm="1">
        <f t="array" ref="Q98">VLOOKUP($B98,NAS1352First[],COLUMN(NAS1352First[Drilled Hole Location Max]),FALSE)</f>
        <v>0.123</v>
      </c>
      <c r="R98" s="8" cm="1">
        <f t="array" ref="R98">VLOOKUP($B98,NAS1352First[],COLUMN(NAS1352First[Drilled Hole Location Min]),FALSE)</f>
        <v>0.10299999999999999</v>
      </c>
      <c r="S98" s="8" cm="1">
        <f t="array" ref="S98">VLOOKUP($B98,NAS1352First[],COLUMN(NAS1352First[Drilled Hole Diameter Max]),FALSE)</f>
        <v>6.7000000000000004E-2</v>
      </c>
      <c r="T98" s="8" cm="1">
        <f t="array" ref="T98">VLOOKUP($B98,NAS1352First[],COLUMN(NAS1352First[Drilled Hole Diameter Min]),FALSE)</f>
        <v>6.0999999999999999E-2</v>
      </c>
      <c r="U98" s="8" cm="1">
        <f t="array" ref="U98">VLOOKUP($B98,NAS1352First[],COLUMN(NAS1352First[Alloy Steel Minimum Breaking Strength (lb)]),FALSE)</f>
        <v>13900</v>
      </c>
      <c r="V98" s="8" cm="1">
        <f t="array" ref="V98">VLOOKUP($B98,NAS1352First[],COLUMN(NAS1352First[Corrosion Resistant Steel Minimum Breaking Strength (lb)]),FALSE)</f>
        <v>6200</v>
      </c>
      <c r="W98" s="17" cm="1">
        <f t="array" ref="W98">VLOOKUP($B98,NAS1352First[],COLUMN(NAS1352First[Heat Resistant Steel Minimum Breaking Strength (lb)]),FALSE)</f>
        <v>12410</v>
      </c>
    </row>
    <row r="99" spans="1:23" x14ac:dyDescent="0.25">
      <c r="A99" s="15" t="s">
        <v>616</v>
      </c>
      <c r="B99" s="8" t="str">
        <f t="shared" si="4"/>
        <v>6</v>
      </c>
      <c r="C99" s="8">
        <f t="shared" si="3"/>
        <v>2.5</v>
      </c>
      <c r="D99" s="8" t="str" cm="1">
        <f t="array" ref="D99">VLOOKUP($B99,NAS1352First[],COLUMN(NAS1352First[Thread Size]),FALSE)</f>
        <v>3⁄8-16 or 0.3750-16 UNC CLASS 3</v>
      </c>
      <c r="E99" s="8" cm="1">
        <f t="array" ref="E99">VLOOKUP($B99,NAS1352First[],COLUMN(NAS1352First[Body Diameter Max]),FALSE)</f>
        <v>0.375</v>
      </c>
      <c r="F99" s="8" cm="1">
        <f t="array" ref="F99">VLOOKUP($B99,NAS1352First[],COLUMN(NAS1352First[Body Diameter Max2]),FALSE)</f>
        <v>0.36780000000000002</v>
      </c>
      <c r="G99" s="8" cm="1">
        <f t="array" ref="G99">VLOOKUP($B99,NAS1352First[],COLUMN(NAS1352First[Head Diameter Max]),FALSE)</f>
        <v>0.56200000000000006</v>
      </c>
      <c r="H99" s="8" cm="1">
        <f t="array" ref="H99">VLOOKUP($B99,NAS1352First[],COLUMN(NAS1352First[Head Diameter Min]),FALSE)</f>
        <v>0.55000000000000004</v>
      </c>
      <c r="I99" s="8" cm="1">
        <f t="array" ref="I99">VLOOKUP($B99,NAS1352First[],COLUMN(NAS1352First[Head Height Max]),FALSE)</f>
        <v>0.375</v>
      </c>
      <c r="J99" s="8" cm="1">
        <f t="array" ref="J99">VLOOKUP($B99,NAS1352First[],COLUMN(NAS1352First[Head Height Min]),FALSE)</f>
        <v>0.36799999999999999</v>
      </c>
      <c r="K99" s="8" cm="1">
        <f t="array" ref="K99">VLOOKUP($B99,NAS1352First[],COLUMN(NAS1352First[Head Side Height Min]),FALSE)</f>
        <v>0.33700000000000002</v>
      </c>
      <c r="L99" s="8" cm="1">
        <f t="array" ref="L99">VLOOKUP($B99,NAS1352First[],COLUMN(NAS1352First[Nominal Socket Size]),FALSE)</f>
        <v>0.312</v>
      </c>
      <c r="M99" s="8" cm="1">
        <f t="array" ref="M99">VLOOKUP($B99,NAS1352First[],COLUMN(NAS1352First[Key Engagement Min]),FALSE)</f>
        <v>0.182</v>
      </c>
      <c r="N99" s="8" cm="1">
        <f t="array" ref="N99">VLOOKUP($B99,NAS1352First[],COLUMN(NAS1352First[Wall Thickness Min]),FALSE)</f>
        <v>0.14299999999999999</v>
      </c>
      <c r="O99" s="8" cm="1">
        <f t="array" ref="O99">VLOOKUP($B99,NAS1352First[],COLUMN(NAS1352First[Chamfer or Radius Max]),FALSE)</f>
        <v>8.0000000000000002E-3</v>
      </c>
      <c r="P99" s="8" cm="1">
        <f t="array" ref="P99">VLOOKUP($B99,NAS1352First[],COLUMN(NAS1352First[Minimum Basic Thread Length]),FALSE)</f>
        <v>1.25</v>
      </c>
      <c r="Q99" s="8" cm="1">
        <f t="array" ref="Q99">VLOOKUP($B99,NAS1352First[],COLUMN(NAS1352First[Drilled Hole Location Max]),FALSE)</f>
        <v>0.123</v>
      </c>
      <c r="R99" s="8" cm="1">
        <f t="array" ref="R99">VLOOKUP($B99,NAS1352First[],COLUMN(NAS1352First[Drilled Hole Location Min]),FALSE)</f>
        <v>0.10299999999999999</v>
      </c>
      <c r="S99" s="8" cm="1">
        <f t="array" ref="S99">VLOOKUP($B99,NAS1352First[],COLUMN(NAS1352First[Drilled Hole Diameter Max]),FALSE)</f>
        <v>6.7000000000000004E-2</v>
      </c>
      <c r="T99" s="8" cm="1">
        <f t="array" ref="T99">VLOOKUP($B99,NAS1352First[],COLUMN(NAS1352First[Drilled Hole Diameter Min]),FALSE)</f>
        <v>6.0999999999999999E-2</v>
      </c>
      <c r="U99" s="8" cm="1">
        <f t="array" ref="U99">VLOOKUP($B99,NAS1352First[],COLUMN(NAS1352First[Alloy Steel Minimum Breaking Strength (lb)]),FALSE)</f>
        <v>13900</v>
      </c>
      <c r="V99" s="8" cm="1">
        <f t="array" ref="V99">VLOOKUP($B99,NAS1352First[],COLUMN(NAS1352First[Corrosion Resistant Steel Minimum Breaking Strength (lb)]),FALSE)</f>
        <v>6200</v>
      </c>
      <c r="W99" s="17" cm="1">
        <f t="array" ref="W99">VLOOKUP($B99,NAS1352First[],COLUMN(NAS1352First[Heat Resistant Steel Minimum Breaking Strength (lb)]),FALSE)</f>
        <v>12410</v>
      </c>
    </row>
    <row r="100" spans="1:23" x14ac:dyDescent="0.25">
      <c r="A100" s="15" t="s">
        <v>617</v>
      </c>
      <c r="B100" s="8" t="str">
        <f t="shared" si="4"/>
        <v>6</v>
      </c>
      <c r="C100" s="8">
        <f t="shared" si="3"/>
        <v>2.75</v>
      </c>
      <c r="D100" s="8" t="str" cm="1">
        <f t="array" ref="D100">VLOOKUP($B100,NAS1352First[],COLUMN(NAS1352First[Thread Size]),FALSE)</f>
        <v>3⁄8-16 or 0.3750-16 UNC CLASS 3</v>
      </c>
      <c r="E100" s="8" cm="1">
        <f t="array" ref="E100">VLOOKUP($B100,NAS1352First[],COLUMN(NAS1352First[Body Diameter Max]),FALSE)</f>
        <v>0.375</v>
      </c>
      <c r="F100" s="8" cm="1">
        <f t="array" ref="F100">VLOOKUP($B100,NAS1352First[],COLUMN(NAS1352First[Body Diameter Max2]),FALSE)</f>
        <v>0.36780000000000002</v>
      </c>
      <c r="G100" s="8" cm="1">
        <f t="array" ref="G100">VLOOKUP($B100,NAS1352First[],COLUMN(NAS1352First[Head Diameter Max]),FALSE)</f>
        <v>0.56200000000000006</v>
      </c>
      <c r="H100" s="8" cm="1">
        <f t="array" ref="H100">VLOOKUP($B100,NAS1352First[],COLUMN(NAS1352First[Head Diameter Min]),FALSE)</f>
        <v>0.55000000000000004</v>
      </c>
      <c r="I100" s="8" cm="1">
        <f t="array" ref="I100">VLOOKUP($B100,NAS1352First[],COLUMN(NAS1352First[Head Height Max]),FALSE)</f>
        <v>0.375</v>
      </c>
      <c r="J100" s="8" cm="1">
        <f t="array" ref="J100">VLOOKUP($B100,NAS1352First[],COLUMN(NAS1352First[Head Height Min]),FALSE)</f>
        <v>0.36799999999999999</v>
      </c>
      <c r="K100" s="8" cm="1">
        <f t="array" ref="K100">VLOOKUP($B100,NAS1352First[],COLUMN(NAS1352First[Head Side Height Min]),FALSE)</f>
        <v>0.33700000000000002</v>
      </c>
      <c r="L100" s="8" cm="1">
        <f t="array" ref="L100">VLOOKUP($B100,NAS1352First[],COLUMN(NAS1352First[Nominal Socket Size]),FALSE)</f>
        <v>0.312</v>
      </c>
      <c r="M100" s="8" cm="1">
        <f t="array" ref="M100">VLOOKUP($B100,NAS1352First[],COLUMN(NAS1352First[Key Engagement Min]),FALSE)</f>
        <v>0.182</v>
      </c>
      <c r="N100" s="8" cm="1">
        <f t="array" ref="N100">VLOOKUP($B100,NAS1352First[],COLUMN(NAS1352First[Wall Thickness Min]),FALSE)</f>
        <v>0.14299999999999999</v>
      </c>
      <c r="O100" s="8" cm="1">
        <f t="array" ref="O100">VLOOKUP($B100,NAS1352First[],COLUMN(NAS1352First[Chamfer or Radius Max]),FALSE)</f>
        <v>8.0000000000000002E-3</v>
      </c>
      <c r="P100" s="8" cm="1">
        <f t="array" ref="P100">VLOOKUP($B100,NAS1352First[],COLUMN(NAS1352First[Minimum Basic Thread Length]),FALSE)</f>
        <v>1.25</v>
      </c>
      <c r="Q100" s="8" cm="1">
        <f t="array" ref="Q100">VLOOKUP($B100,NAS1352First[],COLUMN(NAS1352First[Drilled Hole Location Max]),FALSE)</f>
        <v>0.123</v>
      </c>
      <c r="R100" s="8" cm="1">
        <f t="array" ref="R100">VLOOKUP($B100,NAS1352First[],COLUMN(NAS1352First[Drilled Hole Location Min]),FALSE)</f>
        <v>0.10299999999999999</v>
      </c>
      <c r="S100" s="8" cm="1">
        <f t="array" ref="S100">VLOOKUP($B100,NAS1352First[],COLUMN(NAS1352First[Drilled Hole Diameter Max]),FALSE)</f>
        <v>6.7000000000000004E-2</v>
      </c>
      <c r="T100" s="8" cm="1">
        <f t="array" ref="T100">VLOOKUP($B100,NAS1352First[],COLUMN(NAS1352First[Drilled Hole Diameter Min]),FALSE)</f>
        <v>6.0999999999999999E-2</v>
      </c>
      <c r="U100" s="8" cm="1">
        <f t="array" ref="U100">VLOOKUP($B100,NAS1352First[],COLUMN(NAS1352First[Alloy Steel Minimum Breaking Strength (lb)]),FALSE)</f>
        <v>13900</v>
      </c>
      <c r="V100" s="8" cm="1">
        <f t="array" ref="V100">VLOOKUP($B100,NAS1352First[],COLUMN(NAS1352First[Corrosion Resistant Steel Minimum Breaking Strength (lb)]),FALSE)</f>
        <v>6200</v>
      </c>
      <c r="W100" s="17" cm="1">
        <f t="array" ref="W100">VLOOKUP($B100,NAS1352First[],COLUMN(NAS1352First[Heat Resistant Steel Minimum Breaking Strength (lb)]),FALSE)</f>
        <v>12410</v>
      </c>
    </row>
    <row r="101" spans="1:23" x14ac:dyDescent="0.25">
      <c r="A101" s="15" t="s">
        <v>618</v>
      </c>
      <c r="B101" s="8" t="str">
        <f t="shared" si="4"/>
        <v>6</v>
      </c>
      <c r="C101" s="8">
        <f t="shared" si="3"/>
        <v>3</v>
      </c>
      <c r="D101" s="8" t="str" cm="1">
        <f t="array" ref="D101">VLOOKUP($B101,NAS1352First[],COLUMN(NAS1352First[Thread Size]),FALSE)</f>
        <v>3⁄8-16 or 0.3750-16 UNC CLASS 3</v>
      </c>
      <c r="E101" s="8" cm="1">
        <f t="array" ref="E101">VLOOKUP($B101,NAS1352First[],COLUMN(NAS1352First[Body Diameter Max]),FALSE)</f>
        <v>0.375</v>
      </c>
      <c r="F101" s="8" cm="1">
        <f t="array" ref="F101">VLOOKUP($B101,NAS1352First[],COLUMN(NAS1352First[Body Diameter Max2]),FALSE)</f>
        <v>0.36780000000000002</v>
      </c>
      <c r="G101" s="8" cm="1">
        <f t="array" ref="G101">VLOOKUP($B101,NAS1352First[],COLUMN(NAS1352First[Head Diameter Max]),FALSE)</f>
        <v>0.56200000000000006</v>
      </c>
      <c r="H101" s="8" cm="1">
        <f t="array" ref="H101">VLOOKUP($B101,NAS1352First[],COLUMN(NAS1352First[Head Diameter Min]),FALSE)</f>
        <v>0.55000000000000004</v>
      </c>
      <c r="I101" s="8" cm="1">
        <f t="array" ref="I101">VLOOKUP($B101,NAS1352First[],COLUMN(NAS1352First[Head Height Max]),FALSE)</f>
        <v>0.375</v>
      </c>
      <c r="J101" s="8" cm="1">
        <f t="array" ref="J101">VLOOKUP($B101,NAS1352First[],COLUMN(NAS1352First[Head Height Min]),FALSE)</f>
        <v>0.36799999999999999</v>
      </c>
      <c r="K101" s="8" cm="1">
        <f t="array" ref="K101">VLOOKUP($B101,NAS1352First[],COLUMN(NAS1352First[Head Side Height Min]),FALSE)</f>
        <v>0.33700000000000002</v>
      </c>
      <c r="L101" s="8" cm="1">
        <f t="array" ref="L101">VLOOKUP($B101,NAS1352First[],COLUMN(NAS1352First[Nominal Socket Size]),FALSE)</f>
        <v>0.312</v>
      </c>
      <c r="M101" s="8" cm="1">
        <f t="array" ref="M101">VLOOKUP($B101,NAS1352First[],COLUMN(NAS1352First[Key Engagement Min]),FALSE)</f>
        <v>0.182</v>
      </c>
      <c r="N101" s="8" cm="1">
        <f t="array" ref="N101">VLOOKUP($B101,NAS1352First[],COLUMN(NAS1352First[Wall Thickness Min]),FALSE)</f>
        <v>0.14299999999999999</v>
      </c>
      <c r="O101" s="8" cm="1">
        <f t="array" ref="O101">VLOOKUP($B101,NAS1352First[],COLUMN(NAS1352First[Chamfer or Radius Max]),FALSE)</f>
        <v>8.0000000000000002E-3</v>
      </c>
      <c r="P101" s="8" cm="1">
        <f t="array" ref="P101">VLOOKUP($B101,NAS1352First[],COLUMN(NAS1352First[Minimum Basic Thread Length]),FALSE)</f>
        <v>1.25</v>
      </c>
      <c r="Q101" s="8" cm="1">
        <f t="array" ref="Q101">VLOOKUP($B101,NAS1352First[],COLUMN(NAS1352First[Drilled Hole Location Max]),FALSE)</f>
        <v>0.123</v>
      </c>
      <c r="R101" s="8" cm="1">
        <f t="array" ref="R101">VLOOKUP($B101,NAS1352First[],COLUMN(NAS1352First[Drilled Hole Location Min]),FALSE)</f>
        <v>0.10299999999999999</v>
      </c>
      <c r="S101" s="8" cm="1">
        <f t="array" ref="S101">VLOOKUP($B101,NAS1352First[],COLUMN(NAS1352First[Drilled Hole Diameter Max]),FALSE)</f>
        <v>6.7000000000000004E-2</v>
      </c>
      <c r="T101" s="8" cm="1">
        <f t="array" ref="T101">VLOOKUP($B101,NAS1352First[],COLUMN(NAS1352First[Drilled Hole Diameter Min]),FALSE)</f>
        <v>6.0999999999999999E-2</v>
      </c>
      <c r="U101" s="8" cm="1">
        <f t="array" ref="U101">VLOOKUP($B101,NAS1352First[],COLUMN(NAS1352First[Alloy Steel Minimum Breaking Strength (lb)]),FALSE)</f>
        <v>13900</v>
      </c>
      <c r="V101" s="8" cm="1">
        <f t="array" ref="V101">VLOOKUP($B101,NAS1352First[],COLUMN(NAS1352First[Corrosion Resistant Steel Minimum Breaking Strength (lb)]),FALSE)</f>
        <v>6200</v>
      </c>
      <c r="W101" s="17" cm="1">
        <f t="array" ref="W101">VLOOKUP($B101,NAS1352First[],COLUMN(NAS1352First[Heat Resistant Steel Minimum Breaking Strength (lb)]),FALSE)</f>
        <v>12410</v>
      </c>
    </row>
    <row r="102" spans="1:23" x14ac:dyDescent="0.25">
      <c r="A102" s="15" t="s">
        <v>619</v>
      </c>
      <c r="B102" s="8" t="str">
        <f t="shared" si="4"/>
        <v>7</v>
      </c>
      <c r="C102" s="8">
        <f t="shared" si="3"/>
        <v>0.75</v>
      </c>
      <c r="D102" s="8" t="str" cm="1">
        <f t="array" ref="D102">VLOOKUP($B102,NAS1352First[],COLUMN(NAS1352First[Thread Size]),FALSE)</f>
        <v>7⁄16-14 or 0.4375-14 UNC CLASS 3</v>
      </c>
      <c r="E102" s="8" cm="1">
        <f t="array" ref="E102">VLOOKUP($B102,NAS1352First[],COLUMN(NAS1352First[Body Diameter Max]),FALSE)</f>
        <v>0.4375</v>
      </c>
      <c r="F102" s="8" cm="1">
        <f t="array" ref="F102">VLOOKUP($B102,NAS1352First[],COLUMN(NAS1352First[Body Diameter Max2]),FALSE)</f>
        <v>0.4294</v>
      </c>
      <c r="G102" s="8" cm="1">
        <f t="array" ref="G102">VLOOKUP($B102,NAS1352First[],COLUMN(NAS1352First[Head Diameter Max]),FALSE)</f>
        <v>0.65600000000000003</v>
      </c>
      <c r="H102" s="8" cm="1">
        <f t="array" ref="H102">VLOOKUP($B102,NAS1352First[],COLUMN(NAS1352First[Head Diameter Min]),FALSE)</f>
        <v>0.64200000000000002</v>
      </c>
      <c r="I102" s="8" cm="1">
        <f t="array" ref="I102">VLOOKUP($B102,NAS1352First[],COLUMN(NAS1352First[Head Height Max]),FALSE)</f>
        <v>0.437</v>
      </c>
      <c r="J102" s="8" cm="1">
        <f t="array" ref="J102">VLOOKUP($B102,NAS1352First[],COLUMN(NAS1352First[Head Height Min]),FALSE)</f>
        <v>0.43</v>
      </c>
      <c r="K102" s="8" cm="1">
        <f t="array" ref="K102">VLOOKUP($B102,NAS1352First[],COLUMN(NAS1352First[Head Side Height Min]),FALSE)</f>
        <v>0.39400000000000002</v>
      </c>
      <c r="L102" s="8" cm="1">
        <f t="array" ref="L102">VLOOKUP($B102,NAS1352First[],COLUMN(NAS1352First[Nominal Socket Size]),FALSE)</f>
        <v>0.375</v>
      </c>
      <c r="M102" s="8" cm="1">
        <f t="array" ref="M102">VLOOKUP($B102,NAS1352First[],COLUMN(NAS1352First[Key Engagement Min]),FALSE)</f>
        <v>0.21299999999999999</v>
      </c>
      <c r="N102" s="8" cm="1">
        <f t="array" ref="N102">VLOOKUP($B102,NAS1352First[],COLUMN(NAS1352First[Wall Thickness Min]),FALSE)</f>
        <v>0.16600000000000001</v>
      </c>
      <c r="O102" s="8" cm="1">
        <f t="array" ref="O102">VLOOKUP($B102,NAS1352First[],COLUMN(NAS1352First[Chamfer or Radius Max]),FALSE)</f>
        <v>0.01</v>
      </c>
      <c r="P102" s="8" cm="1">
        <f t="array" ref="P102">VLOOKUP($B102,NAS1352First[],COLUMN(NAS1352First[Minimum Basic Thread Length]),FALSE)</f>
        <v>1.375</v>
      </c>
      <c r="Q102" s="8" cm="1">
        <f t="array" ref="Q102">VLOOKUP($B102,NAS1352First[],COLUMN(NAS1352First[Drilled Hole Location Max]),FALSE)</f>
        <v>0.14099999999999999</v>
      </c>
      <c r="R102" s="8" cm="1">
        <f t="array" ref="R102">VLOOKUP($B102,NAS1352First[],COLUMN(NAS1352First[Drilled Hole Location Min]),FALSE)</f>
        <v>0.121</v>
      </c>
      <c r="S102" s="8" cm="1">
        <f t="array" ref="S102">VLOOKUP($B102,NAS1352First[],COLUMN(NAS1352First[Drilled Hole Diameter Max]),FALSE)</f>
        <v>6.7000000000000004E-2</v>
      </c>
      <c r="T102" s="8" cm="1">
        <f t="array" ref="T102">VLOOKUP($B102,NAS1352First[],COLUMN(NAS1352First[Drilled Hole Diameter Min]),FALSE)</f>
        <v>6.0999999999999999E-2</v>
      </c>
      <c r="U102" s="8" cm="1">
        <f t="array" ref="U102">VLOOKUP($B102,NAS1352First[],COLUMN(NAS1352First[Alloy Steel Minimum Breaking Strength (lb)]),FALSE)</f>
        <v>19100</v>
      </c>
      <c r="V102" s="8" cm="1">
        <f t="array" ref="V102">VLOOKUP($B102,NAS1352First[],COLUMN(NAS1352First[Corrosion Resistant Steel Minimum Breaking Strength (lb)]),FALSE)</f>
        <v>8500</v>
      </c>
      <c r="W102" s="17" cm="1">
        <f t="array" ref="W102">VLOOKUP($B102,NAS1352First[],COLUMN(NAS1352First[Heat Resistant Steel Minimum Breaking Strength (lb)]),FALSE)</f>
        <v>17010</v>
      </c>
    </row>
    <row r="103" spans="1:23" x14ac:dyDescent="0.25">
      <c r="A103" s="15" t="s">
        <v>620</v>
      </c>
      <c r="B103" s="8" t="str">
        <f t="shared" si="4"/>
        <v>7</v>
      </c>
      <c r="C103" s="8">
        <f t="shared" si="3"/>
        <v>0.875</v>
      </c>
      <c r="D103" s="8" t="str" cm="1">
        <f t="array" ref="D103">VLOOKUP($B103,NAS1352First[],COLUMN(NAS1352First[Thread Size]),FALSE)</f>
        <v>7⁄16-14 or 0.4375-14 UNC CLASS 3</v>
      </c>
      <c r="E103" s="8" cm="1">
        <f t="array" ref="E103">VLOOKUP($B103,NAS1352First[],COLUMN(NAS1352First[Body Diameter Max]),FALSE)</f>
        <v>0.4375</v>
      </c>
      <c r="F103" s="8" cm="1">
        <f t="array" ref="F103">VLOOKUP($B103,NAS1352First[],COLUMN(NAS1352First[Body Diameter Max2]),FALSE)</f>
        <v>0.4294</v>
      </c>
      <c r="G103" s="8" cm="1">
        <f t="array" ref="G103">VLOOKUP($B103,NAS1352First[],COLUMN(NAS1352First[Head Diameter Max]),FALSE)</f>
        <v>0.65600000000000003</v>
      </c>
      <c r="H103" s="8" cm="1">
        <f t="array" ref="H103">VLOOKUP($B103,NAS1352First[],COLUMN(NAS1352First[Head Diameter Min]),FALSE)</f>
        <v>0.64200000000000002</v>
      </c>
      <c r="I103" s="8" cm="1">
        <f t="array" ref="I103">VLOOKUP($B103,NAS1352First[],COLUMN(NAS1352First[Head Height Max]),FALSE)</f>
        <v>0.437</v>
      </c>
      <c r="J103" s="8" cm="1">
        <f t="array" ref="J103">VLOOKUP($B103,NAS1352First[],COLUMN(NAS1352First[Head Height Min]),FALSE)</f>
        <v>0.43</v>
      </c>
      <c r="K103" s="8" cm="1">
        <f t="array" ref="K103">VLOOKUP($B103,NAS1352First[],COLUMN(NAS1352First[Head Side Height Min]),FALSE)</f>
        <v>0.39400000000000002</v>
      </c>
      <c r="L103" s="8" cm="1">
        <f t="array" ref="L103">VLOOKUP($B103,NAS1352First[],COLUMN(NAS1352First[Nominal Socket Size]),FALSE)</f>
        <v>0.375</v>
      </c>
      <c r="M103" s="8" cm="1">
        <f t="array" ref="M103">VLOOKUP($B103,NAS1352First[],COLUMN(NAS1352First[Key Engagement Min]),FALSE)</f>
        <v>0.21299999999999999</v>
      </c>
      <c r="N103" s="8" cm="1">
        <f t="array" ref="N103">VLOOKUP($B103,NAS1352First[],COLUMN(NAS1352First[Wall Thickness Min]),FALSE)</f>
        <v>0.16600000000000001</v>
      </c>
      <c r="O103" s="8" cm="1">
        <f t="array" ref="O103">VLOOKUP($B103,NAS1352First[],COLUMN(NAS1352First[Chamfer or Radius Max]),FALSE)</f>
        <v>0.01</v>
      </c>
      <c r="P103" s="8" cm="1">
        <f t="array" ref="P103">VLOOKUP($B103,NAS1352First[],COLUMN(NAS1352First[Minimum Basic Thread Length]),FALSE)</f>
        <v>1.375</v>
      </c>
      <c r="Q103" s="8" cm="1">
        <f t="array" ref="Q103">VLOOKUP($B103,NAS1352First[],COLUMN(NAS1352First[Drilled Hole Location Max]),FALSE)</f>
        <v>0.14099999999999999</v>
      </c>
      <c r="R103" s="8" cm="1">
        <f t="array" ref="R103">VLOOKUP($B103,NAS1352First[],COLUMN(NAS1352First[Drilled Hole Location Min]),FALSE)</f>
        <v>0.121</v>
      </c>
      <c r="S103" s="8" cm="1">
        <f t="array" ref="S103">VLOOKUP($B103,NAS1352First[],COLUMN(NAS1352First[Drilled Hole Diameter Max]),FALSE)</f>
        <v>6.7000000000000004E-2</v>
      </c>
      <c r="T103" s="8" cm="1">
        <f t="array" ref="T103">VLOOKUP($B103,NAS1352First[],COLUMN(NAS1352First[Drilled Hole Diameter Min]),FALSE)</f>
        <v>6.0999999999999999E-2</v>
      </c>
      <c r="U103" s="8" cm="1">
        <f t="array" ref="U103">VLOOKUP($B103,NAS1352First[],COLUMN(NAS1352First[Alloy Steel Minimum Breaking Strength (lb)]),FALSE)</f>
        <v>19100</v>
      </c>
      <c r="V103" s="8" cm="1">
        <f t="array" ref="V103">VLOOKUP($B103,NAS1352First[],COLUMN(NAS1352First[Corrosion Resistant Steel Minimum Breaking Strength (lb)]),FALSE)</f>
        <v>8500</v>
      </c>
      <c r="W103" s="17" cm="1">
        <f t="array" ref="W103">VLOOKUP($B103,NAS1352First[],COLUMN(NAS1352First[Heat Resistant Steel Minimum Breaking Strength (lb)]),FALSE)</f>
        <v>17010</v>
      </c>
    </row>
    <row r="104" spans="1:23" x14ac:dyDescent="0.25">
      <c r="A104" s="15" t="s">
        <v>621</v>
      </c>
      <c r="B104" s="8" t="str">
        <f t="shared" si="4"/>
        <v>7</v>
      </c>
      <c r="C104" s="8">
        <f t="shared" si="3"/>
        <v>1</v>
      </c>
      <c r="D104" s="8" t="str" cm="1">
        <f t="array" ref="D104">VLOOKUP($B104,NAS1352First[],COLUMN(NAS1352First[Thread Size]),FALSE)</f>
        <v>7⁄16-14 or 0.4375-14 UNC CLASS 3</v>
      </c>
      <c r="E104" s="8" cm="1">
        <f t="array" ref="E104">VLOOKUP($B104,NAS1352First[],COLUMN(NAS1352First[Body Diameter Max]),FALSE)</f>
        <v>0.4375</v>
      </c>
      <c r="F104" s="8" cm="1">
        <f t="array" ref="F104">VLOOKUP($B104,NAS1352First[],COLUMN(NAS1352First[Body Diameter Max2]),FALSE)</f>
        <v>0.4294</v>
      </c>
      <c r="G104" s="8" cm="1">
        <f t="array" ref="G104">VLOOKUP($B104,NAS1352First[],COLUMN(NAS1352First[Head Diameter Max]),FALSE)</f>
        <v>0.65600000000000003</v>
      </c>
      <c r="H104" s="8" cm="1">
        <f t="array" ref="H104">VLOOKUP($B104,NAS1352First[],COLUMN(NAS1352First[Head Diameter Min]),FALSE)</f>
        <v>0.64200000000000002</v>
      </c>
      <c r="I104" s="8" cm="1">
        <f t="array" ref="I104">VLOOKUP($B104,NAS1352First[],COLUMN(NAS1352First[Head Height Max]),FALSE)</f>
        <v>0.437</v>
      </c>
      <c r="J104" s="8" cm="1">
        <f t="array" ref="J104">VLOOKUP($B104,NAS1352First[],COLUMN(NAS1352First[Head Height Min]),FALSE)</f>
        <v>0.43</v>
      </c>
      <c r="K104" s="8" cm="1">
        <f t="array" ref="K104">VLOOKUP($B104,NAS1352First[],COLUMN(NAS1352First[Head Side Height Min]),FALSE)</f>
        <v>0.39400000000000002</v>
      </c>
      <c r="L104" s="8" cm="1">
        <f t="array" ref="L104">VLOOKUP($B104,NAS1352First[],COLUMN(NAS1352First[Nominal Socket Size]),FALSE)</f>
        <v>0.375</v>
      </c>
      <c r="M104" s="8" cm="1">
        <f t="array" ref="M104">VLOOKUP($B104,NAS1352First[],COLUMN(NAS1352First[Key Engagement Min]),FALSE)</f>
        <v>0.21299999999999999</v>
      </c>
      <c r="N104" s="8" cm="1">
        <f t="array" ref="N104">VLOOKUP($B104,NAS1352First[],COLUMN(NAS1352First[Wall Thickness Min]),FALSE)</f>
        <v>0.16600000000000001</v>
      </c>
      <c r="O104" s="8" cm="1">
        <f t="array" ref="O104">VLOOKUP($B104,NAS1352First[],COLUMN(NAS1352First[Chamfer or Radius Max]),FALSE)</f>
        <v>0.01</v>
      </c>
      <c r="P104" s="8" cm="1">
        <f t="array" ref="P104">VLOOKUP($B104,NAS1352First[],COLUMN(NAS1352First[Minimum Basic Thread Length]),FALSE)</f>
        <v>1.375</v>
      </c>
      <c r="Q104" s="8" cm="1">
        <f t="array" ref="Q104">VLOOKUP($B104,NAS1352First[],COLUMN(NAS1352First[Drilled Hole Location Max]),FALSE)</f>
        <v>0.14099999999999999</v>
      </c>
      <c r="R104" s="8" cm="1">
        <f t="array" ref="R104">VLOOKUP($B104,NAS1352First[],COLUMN(NAS1352First[Drilled Hole Location Min]),FALSE)</f>
        <v>0.121</v>
      </c>
      <c r="S104" s="8" cm="1">
        <f t="array" ref="S104">VLOOKUP($B104,NAS1352First[],COLUMN(NAS1352First[Drilled Hole Diameter Max]),FALSE)</f>
        <v>6.7000000000000004E-2</v>
      </c>
      <c r="T104" s="8" cm="1">
        <f t="array" ref="T104">VLOOKUP($B104,NAS1352First[],COLUMN(NAS1352First[Drilled Hole Diameter Min]),FALSE)</f>
        <v>6.0999999999999999E-2</v>
      </c>
      <c r="U104" s="8" cm="1">
        <f t="array" ref="U104">VLOOKUP($B104,NAS1352First[],COLUMN(NAS1352First[Alloy Steel Minimum Breaking Strength (lb)]),FALSE)</f>
        <v>19100</v>
      </c>
      <c r="V104" s="8" cm="1">
        <f t="array" ref="V104">VLOOKUP($B104,NAS1352First[],COLUMN(NAS1352First[Corrosion Resistant Steel Minimum Breaking Strength (lb)]),FALSE)</f>
        <v>8500</v>
      </c>
      <c r="W104" s="17" cm="1">
        <f t="array" ref="W104">VLOOKUP($B104,NAS1352First[],COLUMN(NAS1352First[Heat Resistant Steel Minimum Breaking Strength (lb)]),FALSE)</f>
        <v>17010</v>
      </c>
    </row>
    <row r="105" spans="1:23" x14ac:dyDescent="0.25">
      <c r="A105" s="15" t="s">
        <v>622</v>
      </c>
      <c r="B105" s="8" t="str">
        <f t="shared" si="4"/>
        <v>7</v>
      </c>
      <c r="C105" s="8">
        <f t="shared" si="3"/>
        <v>1.25</v>
      </c>
      <c r="D105" s="8" t="str" cm="1">
        <f t="array" ref="D105">VLOOKUP($B105,NAS1352First[],COLUMN(NAS1352First[Thread Size]),FALSE)</f>
        <v>7⁄16-14 or 0.4375-14 UNC CLASS 3</v>
      </c>
      <c r="E105" s="8" cm="1">
        <f t="array" ref="E105">VLOOKUP($B105,NAS1352First[],COLUMN(NAS1352First[Body Diameter Max]),FALSE)</f>
        <v>0.4375</v>
      </c>
      <c r="F105" s="8" cm="1">
        <f t="array" ref="F105">VLOOKUP($B105,NAS1352First[],COLUMN(NAS1352First[Body Diameter Max2]),FALSE)</f>
        <v>0.4294</v>
      </c>
      <c r="G105" s="8" cm="1">
        <f t="array" ref="G105">VLOOKUP($B105,NAS1352First[],COLUMN(NAS1352First[Head Diameter Max]),FALSE)</f>
        <v>0.65600000000000003</v>
      </c>
      <c r="H105" s="8" cm="1">
        <f t="array" ref="H105">VLOOKUP($B105,NAS1352First[],COLUMN(NAS1352First[Head Diameter Min]),FALSE)</f>
        <v>0.64200000000000002</v>
      </c>
      <c r="I105" s="8" cm="1">
        <f t="array" ref="I105">VLOOKUP($B105,NAS1352First[],COLUMN(NAS1352First[Head Height Max]),FALSE)</f>
        <v>0.437</v>
      </c>
      <c r="J105" s="8" cm="1">
        <f t="array" ref="J105">VLOOKUP($B105,NAS1352First[],COLUMN(NAS1352First[Head Height Min]),FALSE)</f>
        <v>0.43</v>
      </c>
      <c r="K105" s="8" cm="1">
        <f t="array" ref="K105">VLOOKUP($B105,NAS1352First[],COLUMN(NAS1352First[Head Side Height Min]),FALSE)</f>
        <v>0.39400000000000002</v>
      </c>
      <c r="L105" s="8" cm="1">
        <f t="array" ref="L105">VLOOKUP($B105,NAS1352First[],COLUMN(NAS1352First[Nominal Socket Size]),FALSE)</f>
        <v>0.375</v>
      </c>
      <c r="M105" s="8" cm="1">
        <f t="array" ref="M105">VLOOKUP($B105,NAS1352First[],COLUMN(NAS1352First[Key Engagement Min]),FALSE)</f>
        <v>0.21299999999999999</v>
      </c>
      <c r="N105" s="8" cm="1">
        <f t="array" ref="N105">VLOOKUP($B105,NAS1352First[],COLUMN(NAS1352First[Wall Thickness Min]),FALSE)</f>
        <v>0.16600000000000001</v>
      </c>
      <c r="O105" s="8" cm="1">
        <f t="array" ref="O105">VLOOKUP($B105,NAS1352First[],COLUMN(NAS1352First[Chamfer or Radius Max]),FALSE)</f>
        <v>0.01</v>
      </c>
      <c r="P105" s="8" cm="1">
        <f t="array" ref="P105">VLOOKUP($B105,NAS1352First[],COLUMN(NAS1352First[Minimum Basic Thread Length]),FALSE)</f>
        <v>1.375</v>
      </c>
      <c r="Q105" s="8" cm="1">
        <f t="array" ref="Q105">VLOOKUP($B105,NAS1352First[],COLUMN(NAS1352First[Drilled Hole Location Max]),FALSE)</f>
        <v>0.14099999999999999</v>
      </c>
      <c r="R105" s="8" cm="1">
        <f t="array" ref="R105">VLOOKUP($B105,NAS1352First[],COLUMN(NAS1352First[Drilled Hole Location Min]),FALSE)</f>
        <v>0.121</v>
      </c>
      <c r="S105" s="8" cm="1">
        <f t="array" ref="S105">VLOOKUP($B105,NAS1352First[],COLUMN(NAS1352First[Drilled Hole Diameter Max]),FALSE)</f>
        <v>6.7000000000000004E-2</v>
      </c>
      <c r="T105" s="8" cm="1">
        <f t="array" ref="T105">VLOOKUP($B105,NAS1352First[],COLUMN(NAS1352First[Drilled Hole Diameter Min]),FALSE)</f>
        <v>6.0999999999999999E-2</v>
      </c>
      <c r="U105" s="8" cm="1">
        <f t="array" ref="U105">VLOOKUP($B105,NAS1352First[],COLUMN(NAS1352First[Alloy Steel Minimum Breaking Strength (lb)]),FALSE)</f>
        <v>19100</v>
      </c>
      <c r="V105" s="8" cm="1">
        <f t="array" ref="V105">VLOOKUP($B105,NAS1352First[],COLUMN(NAS1352First[Corrosion Resistant Steel Minimum Breaking Strength (lb)]),FALSE)</f>
        <v>8500</v>
      </c>
      <c r="W105" s="17" cm="1">
        <f t="array" ref="W105">VLOOKUP($B105,NAS1352First[],COLUMN(NAS1352First[Heat Resistant Steel Minimum Breaking Strength (lb)]),FALSE)</f>
        <v>17010</v>
      </c>
    </row>
    <row r="106" spans="1:23" x14ac:dyDescent="0.25">
      <c r="A106" s="15" t="s">
        <v>623</v>
      </c>
      <c r="B106" s="8" t="str">
        <f t="shared" si="4"/>
        <v>7</v>
      </c>
      <c r="C106" s="8">
        <f t="shared" si="3"/>
        <v>1.5</v>
      </c>
      <c r="D106" s="8" t="str" cm="1">
        <f t="array" ref="D106">VLOOKUP($B106,NAS1352First[],COLUMN(NAS1352First[Thread Size]),FALSE)</f>
        <v>7⁄16-14 or 0.4375-14 UNC CLASS 3</v>
      </c>
      <c r="E106" s="8" cm="1">
        <f t="array" ref="E106">VLOOKUP($B106,NAS1352First[],COLUMN(NAS1352First[Body Diameter Max]),FALSE)</f>
        <v>0.4375</v>
      </c>
      <c r="F106" s="8" cm="1">
        <f t="array" ref="F106">VLOOKUP($B106,NAS1352First[],COLUMN(NAS1352First[Body Diameter Max2]),FALSE)</f>
        <v>0.4294</v>
      </c>
      <c r="G106" s="8" cm="1">
        <f t="array" ref="G106">VLOOKUP($B106,NAS1352First[],COLUMN(NAS1352First[Head Diameter Max]),FALSE)</f>
        <v>0.65600000000000003</v>
      </c>
      <c r="H106" s="8" cm="1">
        <f t="array" ref="H106">VLOOKUP($B106,NAS1352First[],COLUMN(NAS1352First[Head Diameter Min]),FALSE)</f>
        <v>0.64200000000000002</v>
      </c>
      <c r="I106" s="8" cm="1">
        <f t="array" ref="I106">VLOOKUP($B106,NAS1352First[],COLUMN(NAS1352First[Head Height Max]),FALSE)</f>
        <v>0.437</v>
      </c>
      <c r="J106" s="8" cm="1">
        <f t="array" ref="J106">VLOOKUP($B106,NAS1352First[],COLUMN(NAS1352First[Head Height Min]),FALSE)</f>
        <v>0.43</v>
      </c>
      <c r="K106" s="8" cm="1">
        <f t="array" ref="K106">VLOOKUP($B106,NAS1352First[],COLUMN(NAS1352First[Head Side Height Min]),FALSE)</f>
        <v>0.39400000000000002</v>
      </c>
      <c r="L106" s="8" cm="1">
        <f t="array" ref="L106">VLOOKUP($B106,NAS1352First[],COLUMN(NAS1352First[Nominal Socket Size]),FALSE)</f>
        <v>0.375</v>
      </c>
      <c r="M106" s="8" cm="1">
        <f t="array" ref="M106">VLOOKUP($B106,NAS1352First[],COLUMN(NAS1352First[Key Engagement Min]),FALSE)</f>
        <v>0.21299999999999999</v>
      </c>
      <c r="N106" s="8" cm="1">
        <f t="array" ref="N106">VLOOKUP($B106,NAS1352First[],COLUMN(NAS1352First[Wall Thickness Min]),FALSE)</f>
        <v>0.16600000000000001</v>
      </c>
      <c r="O106" s="8" cm="1">
        <f t="array" ref="O106">VLOOKUP($B106,NAS1352First[],COLUMN(NAS1352First[Chamfer or Radius Max]),FALSE)</f>
        <v>0.01</v>
      </c>
      <c r="P106" s="8" cm="1">
        <f t="array" ref="P106">VLOOKUP($B106,NAS1352First[],COLUMN(NAS1352First[Minimum Basic Thread Length]),FALSE)</f>
        <v>1.375</v>
      </c>
      <c r="Q106" s="8" cm="1">
        <f t="array" ref="Q106">VLOOKUP($B106,NAS1352First[],COLUMN(NAS1352First[Drilled Hole Location Max]),FALSE)</f>
        <v>0.14099999999999999</v>
      </c>
      <c r="R106" s="8" cm="1">
        <f t="array" ref="R106">VLOOKUP($B106,NAS1352First[],COLUMN(NAS1352First[Drilled Hole Location Min]),FALSE)</f>
        <v>0.121</v>
      </c>
      <c r="S106" s="8" cm="1">
        <f t="array" ref="S106">VLOOKUP($B106,NAS1352First[],COLUMN(NAS1352First[Drilled Hole Diameter Max]),FALSE)</f>
        <v>6.7000000000000004E-2</v>
      </c>
      <c r="T106" s="8" cm="1">
        <f t="array" ref="T106">VLOOKUP($B106,NAS1352First[],COLUMN(NAS1352First[Drilled Hole Diameter Min]),FALSE)</f>
        <v>6.0999999999999999E-2</v>
      </c>
      <c r="U106" s="8" cm="1">
        <f t="array" ref="U106">VLOOKUP($B106,NAS1352First[],COLUMN(NAS1352First[Alloy Steel Minimum Breaking Strength (lb)]),FALSE)</f>
        <v>19100</v>
      </c>
      <c r="V106" s="8" cm="1">
        <f t="array" ref="V106">VLOOKUP($B106,NAS1352First[],COLUMN(NAS1352First[Corrosion Resistant Steel Minimum Breaking Strength (lb)]),FALSE)</f>
        <v>8500</v>
      </c>
      <c r="W106" s="17" cm="1">
        <f t="array" ref="W106">VLOOKUP($B106,NAS1352First[],COLUMN(NAS1352First[Heat Resistant Steel Minimum Breaking Strength (lb)]),FALSE)</f>
        <v>17010</v>
      </c>
    </row>
    <row r="107" spans="1:23" x14ac:dyDescent="0.25">
      <c r="A107" s="15" t="s">
        <v>624</v>
      </c>
      <c r="B107" s="8" t="str">
        <f t="shared" si="4"/>
        <v>7</v>
      </c>
      <c r="C107" s="8">
        <f t="shared" si="3"/>
        <v>1.75</v>
      </c>
      <c r="D107" s="8" t="str" cm="1">
        <f t="array" ref="D107">VLOOKUP($B107,NAS1352First[],COLUMN(NAS1352First[Thread Size]),FALSE)</f>
        <v>7⁄16-14 or 0.4375-14 UNC CLASS 3</v>
      </c>
      <c r="E107" s="8" cm="1">
        <f t="array" ref="E107">VLOOKUP($B107,NAS1352First[],COLUMN(NAS1352First[Body Diameter Max]),FALSE)</f>
        <v>0.4375</v>
      </c>
      <c r="F107" s="8" cm="1">
        <f t="array" ref="F107">VLOOKUP($B107,NAS1352First[],COLUMN(NAS1352First[Body Diameter Max2]),FALSE)</f>
        <v>0.4294</v>
      </c>
      <c r="G107" s="8" cm="1">
        <f t="array" ref="G107">VLOOKUP($B107,NAS1352First[],COLUMN(NAS1352First[Head Diameter Max]),FALSE)</f>
        <v>0.65600000000000003</v>
      </c>
      <c r="H107" s="8" cm="1">
        <f t="array" ref="H107">VLOOKUP($B107,NAS1352First[],COLUMN(NAS1352First[Head Diameter Min]),FALSE)</f>
        <v>0.64200000000000002</v>
      </c>
      <c r="I107" s="8" cm="1">
        <f t="array" ref="I107">VLOOKUP($B107,NAS1352First[],COLUMN(NAS1352First[Head Height Max]),FALSE)</f>
        <v>0.437</v>
      </c>
      <c r="J107" s="8" cm="1">
        <f t="array" ref="J107">VLOOKUP($B107,NAS1352First[],COLUMN(NAS1352First[Head Height Min]),FALSE)</f>
        <v>0.43</v>
      </c>
      <c r="K107" s="8" cm="1">
        <f t="array" ref="K107">VLOOKUP($B107,NAS1352First[],COLUMN(NAS1352First[Head Side Height Min]),FALSE)</f>
        <v>0.39400000000000002</v>
      </c>
      <c r="L107" s="8" cm="1">
        <f t="array" ref="L107">VLOOKUP($B107,NAS1352First[],COLUMN(NAS1352First[Nominal Socket Size]),FALSE)</f>
        <v>0.375</v>
      </c>
      <c r="M107" s="8" cm="1">
        <f t="array" ref="M107">VLOOKUP($B107,NAS1352First[],COLUMN(NAS1352First[Key Engagement Min]),FALSE)</f>
        <v>0.21299999999999999</v>
      </c>
      <c r="N107" s="8" cm="1">
        <f t="array" ref="N107">VLOOKUP($B107,NAS1352First[],COLUMN(NAS1352First[Wall Thickness Min]),FALSE)</f>
        <v>0.16600000000000001</v>
      </c>
      <c r="O107" s="8" cm="1">
        <f t="array" ref="O107">VLOOKUP($B107,NAS1352First[],COLUMN(NAS1352First[Chamfer or Radius Max]),FALSE)</f>
        <v>0.01</v>
      </c>
      <c r="P107" s="8" cm="1">
        <f t="array" ref="P107">VLOOKUP($B107,NAS1352First[],COLUMN(NAS1352First[Minimum Basic Thread Length]),FALSE)</f>
        <v>1.375</v>
      </c>
      <c r="Q107" s="8" cm="1">
        <f t="array" ref="Q107">VLOOKUP($B107,NAS1352First[],COLUMN(NAS1352First[Drilled Hole Location Max]),FALSE)</f>
        <v>0.14099999999999999</v>
      </c>
      <c r="R107" s="8" cm="1">
        <f t="array" ref="R107">VLOOKUP($B107,NAS1352First[],COLUMN(NAS1352First[Drilled Hole Location Min]),FALSE)</f>
        <v>0.121</v>
      </c>
      <c r="S107" s="8" cm="1">
        <f t="array" ref="S107">VLOOKUP($B107,NAS1352First[],COLUMN(NAS1352First[Drilled Hole Diameter Max]),FALSE)</f>
        <v>6.7000000000000004E-2</v>
      </c>
      <c r="T107" s="8" cm="1">
        <f t="array" ref="T107">VLOOKUP($B107,NAS1352First[],COLUMN(NAS1352First[Drilled Hole Diameter Min]),FALSE)</f>
        <v>6.0999999999999999E-2</v>
      </c>
      <c r="U107" s="8" cm="1">
        <f t="array" ref="U107">VLOOKUP($B107,NAS1352First[],COLUMN(NAS1352First[Alloy Steel Minimum Breaking Strength (lb)]),FALSE)</f>
        <v>19100</v>
      </c>
      <c r="V107" s="8" cm="1">
        <f t="array" ref="V107">VLOOKUP($B107,NAS1352First[],COLUMN(NAS1352First[Corrosion Resistant Steel Minimum Breaking Strength (lb)]),FALSE)</f>
        <v>8500</v>
      </c>
      <c r="W107" s="17" cm="1">
        <f t="array" ref="W107">VLOOKUP($B107,NAS1352First[],COLUMN(NAS1352First[Heat Resistant Steel Minimum Breaking Strength (lb)]),FALSE)</f>
        <v>17010</v>
      </c>
    </row>
    <row r="108" spans="1:23" x14ac:dyDescent="0.25">
      <c r="A108" s="15" t="s">
        <v>625</v>
      </c>
      <c r="B108" s="8" t="str">
        <f t="shared" si="4"/>
        <v>7</v>
      </c>
      <c r="C108" s="8">
        <f t="shared" si="3"/>
        <v>2</v>
      </c>
      <c r="D108" s="8" t="str" cm="1">
        <f t="array" ref="D108">VLOOKUP($B108,NAS1352First[],COLUMN(NAS1352First[Thread Size]),FALSE)</f>
        <v>7⁄16-14 or 0.4375-14 UNC CLASS 3</v>
      </c>
      <c r="E108" s="8" cm="1">
        <f t="array" ref="E108">VLOOKUP($B108,NAS1352First[],COLUMN(NAS1352First[Body Diameter Max]),FALSE)</f>
        <v>0.4375</v>
      </c>
      <c r="F108" s="8" cm="1">
        <f t="array" ref="F108">VLOOKUP($B108,NAS1352First[],COLUMN(NAS1352First[Body Diameter Max2]),FALSE)</f>
        <v>0.4294</v>
      </c>
      <c r="G108" s="8" cm="1">
        <f t="array" ref="G108">VLOOKUP($B108,NAS1352First[],COLUMN(NAS1352First[Head Diameter Max]),FALSE)</f>
        <v>0.65600000000000003</v>
      </c>
      <c r="H108" s="8" cm="1">
        <f t="array" ref="H108">VLOOKUP($B108,NAS1352First[],COLUMN(NAS1352First[Head Diameter Min]),FALSE)</f>
        <v>0.64200000000000002</v>
      </c>
      <c r="I108" s="8" cm="1">
        <f t="array" ref="I108">VLOOKUP($B108,NAS1352First[],COLUMN(NAS1352First[Head Height Max]),FALSE)</f>
        <v>0.437</v>
      </c>
      <c r="J108" s="8" cm="1">
        <f t="array" ref="J108">VLOOKUP($B108,NAS1352First[],COLUMN(NAS1352First[Head Height Min]),FALSE)</f>
        <v>0.43</v>
      </c>
      <c r="K108" s="8" cm="1">
        <f t="array" ref="K108">VLOOKUP($B108,NAS1352First[],COLUMN(NAS1352First[Head Side Height Min]),FALSE)</f>
        <v>0.39400000000000002</v>
      </c>
      <c r="L108" s="8" cm="1">
        <f t="array" ref="L108">VLOOKUP($B108,NAS1352First[],COLUMN(NAS1352First[Nominal Socket Size]),FALSE)</f>
        <v>0.375</v>
      </c>
      <c r="M108" s="8" cm="1">
        <f t="array" ref="M108">VLOOKUP($B108,NAS1352First[],COLUMN(NAS1352First[Key Engagement Min]),FALSE)</f>
        <v>0.21299999999999999</v>
      </c>
      <c r="N108" s="8" cm="1">
        <f t="array" ref="N108">VLOOKUP($B108,NAS1352First[],COLUMN(NAS1352First[Wall Thickness Min]),FALSE)</f>
        <v>0.16600000000000001</v>
      </c>
      <c r="O108" s="8" cm="1">
        <f t="array" ref="O108">VLOOKUP($B108,NAS1352First[],COLUMN(NAS1352First[Chamfer or Radius Max]),FALSE)</f>
        <v>0.01</v>
      </c>
      <c r="P108" s="8" cm="1">
        <f t="array" ref="P108">VLOOKUP($B108,NAS1352First[],COLUMN(NAS1352First[Minimum Basic Thread Length]),FALSE)</f>
        <v>1.375</v>
      </c>
      <c r="Q108" s="8" cm="1">
        <f t="array" ref="Q108">VLOOKUP($B108,NAS1352First[],COLUMN(NAS1352First[Drilled Hole Location Max]),FALSE)</f>
        <v>0.14099999999999999</v>
      </c>
      <c r="R108" s="8" cm="1">
        <f t="array" ref="R108">VLOOKUP($B108,NAS1352First[],COLUMN(NAS1352First[Drilled Hole Location Min]),FALSE)</f>
        <v>0.121</v>
      </c>
      <c r="S108" s="8" cm="1">
        <f t="array" ref="S108">VLOOKUP($B108,NAS1352First[],COLUMN(NAS1352First[Drilled Hole Diameter Max]),FALSE)</f>
        <v>6.7000000000000004E-2</v>
      </c>
      <c r="T108" s="8" cm="1">
        <f t="array" ref="T108">VLOOKUP($B108,NAS1352First[],COLUMN(NAS1352First[Drilled Hole Diameter Min]),FALSE)</f>
        <v>6.0999999999999999E-2</v>
      </c>
      <c r="U108" s="8" cm="1">
        <f t="array" ref="U108">VLOOKUP($B108,NAS1352First[],COLUMN(NAS1352First[Alloy Steel Minimum Breaking Strength (lb)]),FALSE)</f>
        <v>19100</v>
      </c>
      <c r="V108" s="8" cm="1">
        <f t="array" ref="V108">VLOOKUP($B108,NAS1352First[],COLUMN(NAS1352First[Corrosion Resistant Steel Minimum Breaking Strength (lb)]),FALSE)</f>
        <v>8500</v>
      </c>
      <c r="W108" s="17" cm="1">
        <f t="array" ref="W108">VLOOKUP($B108,NAS1352First[],COLUMN(NAS1352First[Heat Resistant Steel Minimum Breaking Strength (lb)]),FALSE)</f>
        <v>17010</v>
      </c>
    </row>
    <row r="109" spans="1:23" x14ac:dyDescent="0.25">
      <c r="A109" s="15" t="s">
        <v>626</v>
      </c>
      <c r="B109" s="8" t="str">
        <f t="shared" si="4"/>
        <v>7</v>
      </c>
      <c r="C109" s="8">
        <f t="shared" si="3"/>
        <v>2.25</v>
      </c>
      <c r="D109" s="8" t="str" cm="1">
        <f t="array" ref="D109">VLOOKUP($B109,NAS1352First[],COLUMN(NAS1352First[Thread Size]),FALSE)</f>
        <v>7⁄16-14 or 0.4375-14 UNC CLASS 3</v>
      </c>
      <c r="E109" s="8" cm="1">
        <f t="array" ref="E109">VLOOKUP($B109,NAS1352First[],COLUMN(NAS1352First[Body Diameter Max]),FALSE)</f>
        <v>0.4375</v>
      </c>
      <c r="F109" s="8" cm="1">
        <f t="array" ref="F109">VLOOKUP($B109,NAS1352First[],COLUMN(NAS1352First[Body Diameter Max2]),FALSE)</f>
        <v>0.4294</v>
      </c>
      <c r="G109" s="8" cm="1">
        <f t="array" ref="G109">VLOOKUP($B109,NAS1352First[],COLUMN(NAS1352First[Head Diameter Max]),FALSE)</f>
        <v>0.65600000000000003</v>
      </c>
      <c r="H109" s="8" cm="1">
        <f t="array" ref="H109">VLOOKUP($B109,NAS1352First[],COLUMN(NAS1352First[Head Diameter Min]),FALSE)</f>
        <v>0.64200000000000002</v>
      </c>
      <c r="I109" s="8" cm="1">
        <f t="array" ref="I109">VLOOKUP($B109,NAS1352First[],COLUMN(NAS1352First[Head Height Max]),FALSE)</f>
        <v>0.437</v>
      </c>
      <c r="J109" s="8" cm="1">
        <f t="array" ref="J109">VLOOKUP($B109,NAS1352First[],COLUMN(NAS1352First[Head Height Min]),FALSE)</f>
        <v>0.43</v>
      </c>
      <c r="K109" s="8" cm="1">
        <f t="array" ref="K109">VLOOKUP($B109,NAS1352First[],COLUMN(NAS1352First[Head Side Height Min]),FALSE)</f>
        <v>0.39400000000000002</v>
      </c>
      <c r="L109" s="8" cm="1">
        <f t="array" ref="L109">VLOOKUP($B109,NAS1352First[],COLUMN(NAS1352First[Nominal Socket Size]),FALSE)</f>
        <v>0.375</v>
      </c>
      <c r="M109" s="8" cm="1">
        <f t="array" ref="M109">VLOOKUP($B109,NAS1352First[],COLUMN(NAS1352First[Key Engagement Min]),FALSE)</f>
        <v>0.21299999999999999</v>
      </c>
      <c r="N109" s="8" cm="1">
        <f t="array" ref="N109">VLOOKUP($B109,NAS1352First[],COLUMN(NAS1352First[Wall Thickness Min]),FALSE)</f>
        <v>0.16600000000000001</v>
      </c>
      <c r="O109" s="8" cm="1">
        <f t="array" ref="O109">VLOOKUP($B109,NAS1352First[],COLUMN(NAS1352First[Chamfer or Radius Max]),FALSE)</f>
        <v>0.01</v>
      </c>
      <c r="P109" s="8" cm="1">
        <f t="array" ref="P109">VLOOKUP($B109,NAS1352First[],COLUMN(NAS1352First[Minimum Basic Thread Length]),FALSE)</f>
        <v>1.375</v>
      </c>
      <c r="Q109" s="8" cm="1">
        <f t="array" ref="Q109">VLOOKUP($B109,NAS1352First[],COLUMN(NAS1352First[Drilled Hole Location Max]),FALSE)</f>
        <v>0.14099999999999999</v>
      </c>
      <c r="R109" s="8" cm="1">
        <f t="array" ref="R109">VLOOKUP($B109,NAS1352First[],COLUMN(NAS1352First[Drilled Hole Location Min]),FALSE)</f>
        <v>0.121</v>
      </c>
      <c r="S109" s="8" cm="1">
        <f t="array" ref="S109">VLOOKUP($B109,NAS1352First[],COLUMN(NAS1352First[Drilled Hole Diameter Max]),FALSE)</f>
        <v>6.7000000000000004E-2</v>
      </c>
      <c r="T109" s="8" cm="1">
        <f t="array" ref="T109">VLOOKUP($B109,NAS1352First[],COLUMN(NAS1352First[Drilled Hole Diameter Min]),FALSE)</f>
        <v>6.0999999999999999E-2</v>
      </c>
      <c r="U109" s="8" cm="1">
        <f t="array" ref="U109">VLOOKUP($B109,NAS1352First[],COLUMN(NAS1352First[Alloy Steel Minimum Breaking Strength (lb)]),FALSE)</f>
        <v>19100</v>
      </c>
      <c r="V109" s="8" cm="1">
        <f t="array" ref="V109">VLOOKUP($B109,NAS1352First[],COLUMN(NAS1352First[Corrosion Resistant Steel Minimum Breaking Strength (lb)]),FALSE)</f>
        <v>8500</v>
      </c>
      <c r="W109" s="17" cm="1">
        <f t="array" ref="W109">VLOOKUP($B109,NAS1352First[],COLUMN(NAS1352First[Heat Resistant Steel Minimum Breaking Strength (lb)]),FALSE)</f>
        <v>17010</v>
      </c>
    </row>
    <row r="110" spans="1:23" x14ac:dyDescent="0.25">
      <c r="A110" s="15" t="s">
        <v>627</v>
      </c>
      <c r="B110" s="8" t="str">
        <f t="shared" si="4"/>
        <v>7</v>
      </c>
      <c r="C110" s="8">
        <f t="shared" si="3"/>
        <v>2.5</v>
      </c>
      <c r="D110" s="8" t="str" cm="1">
        <f t="array" ref="D110">VLOOKUP($B110,NAS1352First[],COLUMN(NAS1352First[Thread Size]),FALSE)</f>
        <v>7⁄16-14 or 0.4375-14 UNC CLASS 3</v>
      </c>
      <c r="E110" s="8" cm="1">
        <f t="array" ref="E110">VLOOKUP($B110,NAS1352First[],COLUMN(NAS1352First[Body Diameter Max]),FALSE)</f>
        <v>0.4375</v>
      </c>
      <c r="F110" s="8" cm="1">
        <f t="array" ref="F110">VLOOKUP($B110,NAS1352First[],COLUMN(NAS1352First[Body Diameter Max2]),FALSE)</f>
        <v>0.4294</v>
      </c>
      <c r="G110" s="8" cm="1">
        <f t="array" ref="G110">VLOOKUP($B110,NAS1352First[],COLUMN(NAS1352First[Head Diameter Max]),FALSE)</f>
        <v>0.65600000000000003</v>
      </c>
      <c r="H110" s="8" cm="1">
        <f t="array" ref="H110">VLOOKUP($B110,NAS1352First[],COLUMN(NAS1352First[Head Diameter Min]),FALSE)</f>
        <v>0.64200000000000002</v>
      </c>
      <c r="I110" s="8" cm="1">
        <f t="array" ref="I110">VLOOKUP($B110,NAS1352First[],COLUMN(NAS1352First[Head Height Max]),FALSE)</f>
        <v>0.437</v>
      </c>
      <c r="J110" s="8" cm="1">
        <f t="array" ref="J110">VLOOKUP($B110,NAS1352First[],COLUMN(NAS1352First[Head Height Min]),FALSE)</f>
        <v>0.43</v>
      </c>
      <c r="K110" s="8" cm="1">
        <f t="array" ref="K110">VLOOKUP($B110,NAS1352First[],COLUMN(NAS1352First[Head Side Height Min]),FALSE)</f>
        <v>0.39400000000000002</v>
      </c>
      <c r="L110" s="8" cm="1">
        <f t="array" ref="L110">VLOOKUP($B110,NAS1352First[],COLUMN(NAS1352First[Nominal Socket Size]),FALSE)</f>
        <v>0.375</v>
      </c>
      <c r="M110" s="8" cm="1">
        <f t="array" ref="M110">VLOOKUP($B110,NAS1352First[],COLUMN(NAS1352First[Key Engagement Min]),FALSE)</f>
        <v>0.21299999999999999</v>
      </c>
      <c r="N110" s="8" cm="1">
        <f t="array" ref="N110">VLOOKUP($B110,NAS1352First[],COLUMN(NAS1352First[Wall Thickness Min]),FALSE)</f>
        <v>0.16600000000000001</v>
      </c>
      <c r="O110" s="8" cm="1">
        <f t="array" ref="O110">VLOOKUP($B110,NAS1352First[],COLUMN(NAS1352First[Chamfer or Radius Max]),FALSE)</f>
        <v>0.01</v>
      </c>
      <c r="P110" s="8" cm="1">
        <f t="array" ref="P110">VLOOKUP($B110,NAS1352First[],COLUMN(NAS1352First[Minimum Basic Thread Length]),FALSE)</f>
        <v>1.375</v>
      </c>
      <c r="Q110" s="8" cm="1">
        <f t="array" ref="Q110">VLOOKUP($B110,NAS1352First[],COLUMN(NAS1352First[Drilled Hole Location Max]),FALSE)</f>
        <v>0.14099999999999999</v>
      </c>
      <c r="R110" s="8" cm="1">
        <f t="array" ref="R110">VLOOKUP($B110,NAS1352First[],COLUMN(NAS1352First[Drilled Hole Location Min]),FALSE)</f>
        <v>0.121</v>
      </c>
      <c r="S110" s="8" cm="1">
        <f t="array" ref="S110">VLOOKUP($B110,NAS1352First[],COLUMN(NAS1352First[Drilled Hole Diameter Max]),FALSE)</f>
        <v>6.7000000000000004E-2</v>
      </c>
      <c r="T110" s="8" cm="1">
        <f t="array" ref="T110">VLOOKUP($B110,NAS1352First[],COLUMN(NAS1352First[Drilled Hole Diameter Min]),FALSE)</f>
        <v>6.0999999999999999E-2</v>
      </c>
      <c r="U110" s="8" cm="1">
        <f t="array" ref="U110">VLOOKUP($B110,NAS1352First[],COLUMN(NAS1352First[Alloy Steel Minimum Breaking Strength (lb)]),FALSE)</f>
        <v>19100</v>
      </c>
      <c r="V110" s="8" cm="1">
        <f t="array" ref="V110">VLOOKUP($B110,NAS1352First[],COLUMN(NAS1352First[Corrosion Resistant Steel Minimum Breaking Strength (lb)]),FALSE)</f>
        <v>8500</v>
      </c>
      <c r="W110" s="17" cm="1">
        <f t="array" ref="W110">VLOOKUP($B110,NAS1352First[],COLUMN(NAS1352First[Heat Resistant Steel Minimum Breaking Strength (lb)]),FALSE)</f>
        <v>17010</v>
      </c>
    </row>
    <row r="111" spans="1:23" x14ac:dyDescent="0.25">
      <c r="A111" s="15" t="s">
        <v>628</v>
      </c>
      <c r="B111" s="8" t="str">
        <f t="shared" si="4"/>
        <v>7</v>
      </c>
      <c r="C111" s="8">
        <f t="shared" si="3"/>
        <v>2.75</v>
      </c>
      <c r="D111" s="8" t="str" cm="1">
        <f t="array" ref="D111">VLOOKUP($B111,NAS1352First[],COLUMN(NAS1352First[Thread Size]),FALSE)</f>
        <v>7⁄16-14 or 0.4375-14 UNC CLASS 3</v>
      </c>
      <c r="E111" s="8" cm="1">
        <f t="array" ref="E111">VLOOKUP($B111,NAS1352First[],COLUMN(NAS1352First[Body Diameter Max]),FALSE)</f>
        <v>0.4375</v>
      </c>
      <c r="F111" s="8" cm="1">
        <f t="array" ref="F111">VLOOKUP($B111,NAS1352First[],COLUMN(NAS1352First[Body Diameter Max2]),FALSE)</f>
        <v>0.4294</v>
      </c>
      <c r="G111" s="8" cm="1">
        <f t="array" ref="G111">VLOOKUP($B111,NAS1352First[],COLUMN(NAS1352First[Head Diameter Max]),FALSE)</f>
        <v>0.65600000000000003</v>
      </c>
      <c r="H111" s="8" cm="1">
        <f t="array" ref="H111">VLOOKUP($B111,NAS1352First[],COLUMN(NAS1352First[Head Diameter Min]),FALSE)</f>
        <v>0.64200000000000002</v>
      </c>
      <c r="I111" s="8" cm="1">
        <f t="array" ref="I111">VLOOKUP($B111,NAS1352First[],COLUMN(NAS1352First[Head Height Max]),FALSE)</f>
        <v>0.437</v>
      </c>
      <c r="J111" s="8" cm="1">
        <f t="array" ref="J111">VLOOKUP($B111,NAS1352First[],COLUMN(NAS1352First[Head Height Min]),FALSE)</f>
        <v>0.43</v>
      </c>
      <c r="K111" s="8" cm="1">
        <f t="array" ref="K111">VLOOKUP($B111,NAS1352First[],COLUMN(NAS1352First[Head Side Height Min]),FALSE)</f>
        <v>0.39400000000000002</v>
      </c>
      <c r="L111" s="8" cm="1">
        <f t="array" ref="L111">VLOOKUP($B111,NAS1352First[],COLUMN(NAS1352First[Nominal Socket Size]),FALSE)</f>
        <v>0.375</v>
      </c>
      <c r="M111" s="8" cm="1">
        <f t="array" ref="M111">VLOOKUP($B111,NAS1352First[],COLUMN(NAS1352First[Key Engagement Min]),FALSE)</f>
        <v>0.21299999999999999</v>
      </c>
      <c r="N111" s="8" cm="1">
        <f t="array" ref="N111">VLOOKUP($B111,NAS1352First[],COLUMN(NAS1352First[Wall Thickness Min]),FALSE)</f>
        <v>0.16600000000000001</v>
      </c>
      <c r="O111" s="8" cm="1">
        <f t="array" ref="O111">VLOOKUP($B111,NAS1352First[],COLUMN(NAS1352First[Chamfer or Radius Max]),FALSE)</f>
        <v>0.01</v>
      </c>
      <c r="P111" s="8" cm="1">
        <f t="array" ref="P111">VLOOKUP($B111,NAS1352First[],COLUMN(NAS1352First[Minimum Basic Thread Length]),FALSE)</f>
        <v>1.375</v>
      </c>
      <c r="Q111" s="8" cm="1">
        <f t="array" ref="Q111">VLOOKUP($B111,NAS1352First[],COLUMN(NAS1352First[Drilled Hole Location Max]),FALSE)</f>
        <v>0.14099999999999999</v>
      </c>
      <c r="R111" s="8" cm="1">
        <f t="array" ref="R111">VLOOKUP($B111,NAS1352First[],COLUMN(NAS1352First[Drilled Hole Location Min]),FALSE)</f>
        <v>0.121</v>
      </c>
      <c r="S111" s="8" cm="1">
        <f t="array" ref="S111">VLOOKUP($B111,NAS1352First[],COLUMN(NAS1352First[Drilled Hole Diameter Max]),FALSE)</f>
        <v>6.7000000000000004E-2</v>
      </c>
      <c r="T111" s="8" cm="1">
        <f t="array" ref="T111">VLOOKUP($B111,NAS1352First[],COLUMN(NAS1352First[Drilled Hole Diameter Min]),FALSE)</f>
        <v>6.0999999999999999E-2</v>
      </c>
      <c r="U111" s="8" cm="1">
        <f t="array" ref="U111">VLOOKUP($B111,NAS1352First[],COLUMN(NAS1352First[Alloy Steel Minimum Breaking Strength (lb)]),FALSE)</f>
        <v>19100</v>
      </c>
      <c r="V111" s="8" cm="1">
        <f t="array" ref="V111">VLOOKUP($B111,NAS1352First[],COLUMN(NAS1352First[Corrosion Resistant Steel Minimum Breaking Strength (lb)]),FALSE)</f>
        <v>8500</v>
      </c>
      <c r="W111" s="17" cm="1">
        <f t="array" ref="W111">VLOOKUP($B111,NAS1352First[],COLUMN(NAS1352First[Heat Resistant Steel Minimum Breaking Strength (lb)]),FALSE)</f>
        <v>17010</v>
      </c>
    </row>
    <row r="112" spans="1:23" x14ac:dyDescent="0.25">
      <c r="A112" s="15" t="s">
        <v>629</v>
      </c>
      <c r="B112" s="8" t="str">
        <f t="shared" si="4"/>
        <v>7</v>
      </c>
      <c r="C112" s="8">
        <f t="shared" si="3"/>
        <v>3</v>
      </c>
      <c r="D112" s="8" t="str" cm="1">
        <f t="array" ref="D112">VLOOKUP($B112,NAS1352First[],COLUMN(NAS1352First[Thread Size]),FALSE)</f>
        <v>7⁄16-14 or 0.4375-14 UNC CLASS 3</v>
      </c>
      <c r="E112" s="8" cm="1">
        <f t="array" ref="E112">VLOOKUP($B112,NAS1352First[],COLUMN(NAS1352First[Body Diameter Max]),FALSE)</f>
        <v>0.4375</v>
      </c>
      <c r="F112" s="8" cm="1">
        <f t="array" ref="F112">VLOOKUP($B112,NAS1352First[],COLUMN(NAS1352First[Body Diameter Max2]),FALSE)</f>
        <v>0.4294</v>
      </c>
      <c r="G112" s="8" cm="1">
        <f t="array" ref="G112">VLOOKUP($B112,NAS1352First[],COLUMN(NAS1352First[Head Diameter Max]),FALSE)</f>
        <v>0.65600000000000003</v>
      </c>
      <c r="H112" s="8" cm="1">
        <f t="array" ref="H112">VLOOKUP($B112,NAS1352First[],COLUMN(NAS1352First[Head Diameter Min]),FALSE)</f>
        <v>0.64200000000000002</v>
      </c>
      <c r="I112" s="8" cm="1">
        <f t="array" ref="I112">VLOOKUP($B112,NAS1352First[],COLUMN(NAS1352First[Head Height Max]),FALSE)</f>
        <v>0.437</v>
      </c>
      <c r="J112" s="8" cm="1">
        <f t="array" ref="J112">VLOOKUP($B112,NAS1352First[],COLUMN(NAS1352First[Head Height Min]),FALSE)</f>
        <v>0.43</v>
      </c>
      <c r="K112" s="8" cm="1">
        <f t="array" ref="K112">VLOOKUP($B112,NAS1352First[],COLUMN(NAS1352First[Head Side Height Min]),FALSE)</f>
        <v>0.39400000000000002</v>
      </c>
      <c r="L112" s="8" cm="1">
        <f t="array" ref="L112">VLOOKUP($B112,NAS1352First[],COLUMN(NAS1352First[Nominal Socket Size]),FALSE)</f>
        <v>0.375</v>
      </c>
      <c r="M112" s="8" cm="1">
        <f t="array" ref="M112">VLOOKUP($B112,NAS1352First[],COLUMN(NAS1352First[Key Engagement Min]),FALSE)</f>
        <v>0.21299999999999999</v>
      </c>
      <c r="N112" s="8" cm="1">
        <f t="array" ref="N112">VLOOKUP($B112,NAS1352First[],COLUMN(NAS1352First[Wall Thickness Min]),FALSE)</f>
        <v>0.16600000000000001</v>
      </c>
      <c r="O112" s="8" cm="1">
        <f t="array" ref="O112">VLOOKUP($B112,NAS1352First[],COLUMN(NAS1352First[Chamfer or Radius Max]),FALSE)</f>
        <v>0.01</v>
      </c>
      <c r="P112" s="8" cm="1">
        <f t="array" ref="P112">VLOOKUP($B112,NAS1352First[],COLUMN(NAS1352First[Minimum Basic Thread Length]),FALSE)</f>
        <v>1.375</v>
      </c>
      <c r="Q112" s="8" cm="1">
        <f t="array" ref="Q112">VLOOKUP($B112,NAS1352First[],COLUMN(NAS1352First[Drilled Hole Location Max]),FALSE)</f>
        <v>0.14099999999999999</v>
      </c>
      <c r="R112" s="8" cm="1">
        <f t="array" ref="R112">VLOOKUP($B112,NAS1352First[],COLUMN(NAS1352First[Drilled Hole Location Min]),FALSE)</f>
        <v>0.121</v>
      </c>
      <c r="S112" s="8" cm="1">
        <f t="array" ref="S112">VLOOKUP($B112,NAS1352First[],COLUMN(NAS1352First[Drilled Hole Diameter Max]),FALSE)</f>
        <v>6.7000000000000004E-2</v>
      </c>
      <c r="T112" s="8" cm="1">
        <f t="array" ref="T112">VLOOKUP($B112,NAS1352First[],COLUMN(NAS1352First[Drilled Hole Diameter Min]),FALSE)</f>
        <v>6.0999999999999999E-2</v>
      </c>
      <c r="U112" s="8" cm="1">
        <f t="array" ref="U112">VLOOKUP($B112,NAS1352First[],COLUMN(NAS1352First[Alloy Steel Minimum Breaking Strength (lb)]),FALSE)</f>
        <v>19100</v>
      </c>
      <c r="V112" s="8" cm="1">
        <f t="array" ref="V112">VLOOKUP($B112,NAS1352First[],COLUMN(NAS1352First[Corrosion Resistant Steel Minimum Breaking Strength (lb)]),FALSE)</f>
        <v>8500</v>
      </c>
      <c r="W112" s="17" cm="1">
        <f t="array" ref="W112">VLOOKUP($B112,NAS1352First[],COLUMN(NAS1352First[Heat Resistant Steel Minimum Breaking Strength (lb)]),FALSE)</f>
        <v>17010</v>
      </c>
    </row>
    <row r="113" spans="1:23" x14ac:dyDescent="0.25">
      <c r="A113" s="15" t="s">
        <v>630</v>
      </c>
      <c r="B113" s="8" t="str">
        <f t="shared" si="4"/>
        <v>8</v>
      </c>
      <c r="C113" s="8">
        <f t="shared" si="3"/>
        <v>0.75</v>
      </c>
      <c r="D113" s="8" t="str" cm="1">
        <f t="array" ref="D113">VLOOKUP($B113,NAS1352First[],COLUMN(NAS1352First[Thread Size]),FALSE)</f>
        <v>1⁄2-13 or 0.5000-13 UNC CLASS 3</v>
      </c>
      <c r="E113" s="8" cm="1">
        <f t="array" ref="E113">VLOOKUP($B113,NAS1352First[],COLUMN(NAS1352First[Body Diameter Max]),FALSE)</f>
        <v>0.5</v>
      </c>
      <c r="F113" s="8" cm="1">
        <f t="array" ref="F113">VLOOKUP($B113,NAS1352First[],COLUMN(NAS1352First[Body Diameter Max2]),FALSE)</f>
        <v>0.4919</v>
      </c>
      <c r="G113" s="8" cm="1">
        <f t="array" ref="G113">VLOOKUP($B113,NAS1352First[],COLUMN(NAS1352First[Head Diameter Max]),FALSE)</f>
        <v>0.75</v>
      </c>
      <c r="H113" s="8" cm="1">
        <f t="array" ref="H113">VLOOKUP($B113,NAS1352First[],COLUMN(NAS1352First[Head Diameter Min]),FALSE)</f>
        <v>0.73499999999999999</v>
      </c>
      <c r="I113" s="8" cm="1">
        <f t="array" ref="I113">VLOOKUP($B113,NAS1352First[],COLUMN(NAS1352First[Head Height Max]),FALSE)</f>
        <v>0.5</v>
      </c>
      <c r="J113" s="8" cm="1">
        <f t="array" ref="J113">VLOOKUP($B113,NAS1352First[],COLUMN(NAS1352First[Head Height Min]),FALSE)</f>
        <v>0.49199999999999999</v>
      </c>
      <c r="K113" s="8" cm="1">
        <f t="array" ref="K113">VLOOKUP($B113,NAS1352First[],COLUMN(NAS1352First[Head Side Height Min]),FALSE)</f>
        <v>0.45</v>
      </c>
      <c r="L113" s="8" cm="1">
        <f t="array" ref="L113">VLOOKUP($B113,NAS1352First[],COLUMN(NAS1352First[Nominal Socket Size]),FALSE)</f>
        <v>0.375</v>
      </c>
      <c r="M113" s="8" cm="1">
        <f t="array" ref="M113">VLOOKUP($B113,NAS1352First[],COLUMN(NAS1352First[Key Engagement Min]),FALSE)</f>
        <v>0.245</v>
      </c>
      <c r="N113" s="8" cm="1">
        <f t="array" ref="N113">VLOOKUP($B113,NAS1352First[],COLUMN(NAS1352First[Wall Thickness Min]),FALSE)</f>
        <v>0.19</v>
      </c>
      <c r="O113" s="8" cm="1">
        <f t="array" ref="O113">VLOOKUP($B113,NAS1352First[],COLUMN(NAS1352First[Chamfer or Radius Max]),FALSE)</f>
        <v>0.01</v>
      </c>
      <c r="P113" s="8" cm="1">
        <f t="array" ref="P113">VLOOKUP($B113,NAS1352First[],COLUMN(NAS1352First[Minimum Basic Thread Length]),FALSE)</f>
        <v>1.5</v>
      </c>
      <c r="Q113" s="8" cm="1">
        <f t="array" ref="Q113">VLOOKUP($B113,NAS1352First[],COLUMN(NAS1352First[Drilled Hole Location Max]),FALSE)</f>
        <v>0.16</v>
      </c>
      <c r="R113" s="8" cm="1">
        <f t="array" ref="R113">VLOOKUP($B113,NAS1352First[],COLUMN(NAS1352First[Drilled Hole Location Min]),FALSE)</f>
        <v>0.14000000000000001</v>
      </c>
      <c r="S113" s="8" cm="1">
        <f t="array" ref="S113">VLOOKUP($B113,NAS1352First[],COLUMN(NAS1352First[Drilled Hole Diameter Max]),FALSE)</f>
        <v>6.7000000000000004E-2</v>
      </c>
      <c r="T113" s="8" cm="1">
        <f t="array" ref="T113">VLOOKUP($B113,NAS1352First[],COLUMN(NAS1352First[Drilled Hole Diameter Min]),FALSE)</f>
        <v>6.0999999999999999E-2</v>
      </c>
      <c r="U113" s="8" cm="1">
        <f t="array" ref="U113">VLOOKUP($B113,NAS1352First[],COLUMN(NAS1352First[Alloy Steel Minimum Breaking Strength (lb)]),FALSE)</f>
        <v>25500</v>
      </c>
      <c r="V113" s="8" cm="1">
        <f t="array" ref="V113">VLOOKUP($B113,NAS1352First[],COLUMN(NAS1352First[Corrosion Resistant Steel Minimum Breaking Strength (lb)]),FALSE)</f>
        <v>11300</v>
      </c>
      <c r="W113" s="17" cm="1">
        <f t="array" ref="W113">VLOOKUP($B113,NAS1352First[],COLUMN(NAS1352First[Heat Resistant Steel Minimum Breaking Strength (lb)]),FALSE)</f>
        <v>22700</v>
      </c>
    </row>
    <row r="114" spans="1:23" x14ac:dyDescent="0.25">
      <c r="A114" s="15" t="s">
        <v>631</v>
      </c>
      <c r="B114" s="8" t="str">
        <f t="shared" si="4"/>
        <v>8</v>
      </c>
      <c r="C114" s="8">
        <f t="shared" si="3"/>
        <v>0.875</v>
      </c>
      <c r="D114" s="8" t="str" cm="1">
        <f t="array" ref="D114">VLOOKUP($B114,NAS1352First[],COLUMN(NAS1352First[Thread Size]),FALSE)</f>
        <v>1⁄2-13 or 0.5000-13 UNC CLASS 3</v>
      </c>
      <c r="E114" s="8" cm="1">
        <f t="array" ref="E114">VLOOKUP($B114,NAS1352First[],COLUMN(NAS1352First[Body Diameter Max]),FALSE)</f>
        <v>0.5</v>
      </c>
      <c r="F114" s="8" cm="1">
        <f t="array" ref="F114">VLOOKUP($B114,NAS1352First[],COLUMN(NAS1352First[Body Diameter Max2]),FALSE)</f>
        <v>0.4919</v>
      </c>
      <c r="G114" s="8" cm="1">
        <f t="array" ref="G114">VLOOKUP($B114,NAS1352First[],COLUMN(NAS1352First[Head Diameter Max]),FALSE)</f>
        <v>0.75</v>
      </c>
      <c r="H114" s="8" cm="1">
        <f t="array" ref="H114">VLOOKUP($B114,NAS1352First[],COLUMN(NAS1352First[Head Diameter Min]),FALSE)</f>
        <v>0.73499999999999999</v>
      </c>
      <c r="I114" s="8" cm="1">
        <f t="array" ref="I114">VLOOKUP($B114,NAS1352First[],COLUMN(NAS1352First[Head Height Max]),FALSE)</f>
        <v>0.5</v>
      </c>
      <c r="J114" s="8" cm="1">
        <f t="array" ref="J114">VLOOKUP($B114,NAS1352First[],COLUMN(NAS1352First[Head Height Min]),FALSE)</f>
        <v>0.49199999999999999</v>
      </c>
      <c r="K114" s="8" cm="1">
        <f t="array" ref="K114">VLOOKUP($B114,NAS1352First[],COLUMN(NAS1352First[Head Side Height Min]),FALSE)</f>
        <v>0.45</v>
      </c>
      <c r="L114" s="8" cm="1">
        <f t="array" ref="L114">VLOOKUP($B114,NAS1352First[],COLUMN(NAS1352First[Nominal Socket Size]),FALSE)</f>
        <v>0.375</v>
      </c>
      <c r="M114" s="8" cm="1">
        <f t="array" ref="M114">VLOOKUP($B114,NAS1352First[],COLUMN(NAS1352First[Key Engagement Min]),FALSE)</f>
        <v>0.245</v>
      </c>
      <c r="N114" s="8" cm="1">
        <f t="array" ref="N114">VLOOKUP($B114,NAS1352First[],COLUMN(NAS1352First[Wall Thickness Min]),FALSE)</f>
        <v>0.19</v>
      </c>
      <c r="O114" s="8" cm="1">
        <f t="array" ref="O114">VLOOKUP($B114,NAS1352First[],COLUMN(NAS1352First[Chamfer or Radius Max]),FALSE)</f>
        <v>0.01</v>
      </c>
      <c r="P114" s="8" cm="1">
        <f t="array" ref="P114">VLOOKUP($B114,NAS1352First[],COLUMN(NAS1352First[Minimum Basic Thread Length]),FALSE)</f>
        <v>1.5</v>
      </c>
      <c r="Q114" s="8" cm="1">
        <f t="array" ref="Q114">VLOOKUP($B114,NAS1352First[],COLUMN(NAS1352First[Drilled Hole Location Max]),FALSE)</f>
        <v>0.16</v>
      </c>
      <c r="R114" s="8" cm="1">
        <f t="array" ref="R114">VLOOKUP($B114,NAS1352First[],COLUMN(NAS1352First[Drilled Hole Location Min]),FALSE)</f>
        <v>0.14000000000000001</v>
      </c>
      <c r="S114" s="8" cm="1">
        <f t="array" ref="S114">VLOOKUP($B114,NAS1352First[],COLUMN(NAS1352First[Drilled Hole Diameter Max]),FALSE)</f>
        <v>6.7000000000000004E-2</v>
      </c>
      <c r="T114" s="8" cm="1">
        <f t="array" ref="T114">VLOOKUP($B114,NAS1352First[],COLUMN(NAS1352First[Drilled Hole Diameter Min]),FALSE)</f>
        <v>6.0999999999999999E-2</v>
      </c>
      <c r="U114" s="8" cm="1">
        <f t="array" ref="U114">VLOOKUP($B114,NAS1352First[],COLUMN(NAS1352First[Alloy Steel Minimum Breaking Strength (lb)]),FALSE)</f>
        <v>25500</v>
      </c>
      <c r="V114" s="8" cm="1">
        <f t="array" ref="V114">VLOOKUP($B114,NAS1352First[],COLUMN(NAS1352First[Corrosion Resistant Steel Minimum Breaking Strength (lb)]),FALSE)</f>
        <v>11300</v>
      </c>
      <c r="W114" s="17" cm="1">
        <f t="array" ref="W114">VLOOKUP($B114,NAS1352First[],COLUMN(NAS1352First[Heat Resistant Steel Minimum Breaking Strength (lb)]),FALSE)</f>
        <v>22700</v>
      </c>
    </row>
    <row r="115" spans="1:23" x14ac:dyDescent="0.25">
      <c r="A115" s="15" t="s">
        <v>632</v>
      </c>
      <c r="B115" s="8" t="str">
        <f t="shared" si="4"/>
        <v>8</v>
      </c>
      <c r="C115" s="8">
        <f t="shared" si="3"/>
        <v>1</v>
      </c>
      <c r="D115" s="8" t="str" cm="1">
        <f t="array" ref="D115">VLOOKUP($B115,NAS1352First[],COLUMN(NAS1352First[Thread Size]),FALSE)</f>
        <v>1⁄2-13 or 0.5000-13 UNC CLASS 3</v>
      </c>
      <c r="E115" s="8" cm="1">
        <f t="array" ref="E115">VLOOKUP($B115,NAS1352First[],COLUMN(NAS1352First[Body Diameter Max]),FALSE)</f>
        <v>0.5</v>
      </c>
      <c r="F115" s="8" cm="1">
        <f t="array" ref="F115">VLOOKUP($B115,NAS1352First[],COLUMN(NAS1352First[Body Diameter Max2]),FALSE)</f>
        <v>0.4919</v>
      </c>
      <c r="G115" s="8" cm="1">
        <f t="array" ref="G115">VLOOKUP($B115,NAS1352First[],COLUMN(NAS1352First[Head Diameter Max]),FALSE)</f>
        <v>0.75</v>
      </c>
      <c r="H115" s="8" cm="1">
        <f t="array" ref="H115">VLOOKUP($B115,NAS1352First[],COLUMN(NAS1352First[Head Diameter Min]),FALSE)</f>
        <v>0.73499999999999999</v>
      </c>
      <c r="I115" s="8" cm="1">
        <f t="array" ref="I115">VLOOKUP($B115,NAS1352First[],COLUMN(NAS1352First[Head Height Max]),FALSE)</f>
        <v>0.5</v>
      </c>
      <c r="J115" s="8" cm="1">
        <f t="array" ref="J115">VLOOKUP($B115,NAS1352First[],COLUMN(NAS1352First[Head Height Min]),FALSE)</f>
        <v>0.49199999999999999</v>
      </c>
      <c r="K115" s="8" cm="1">
        <f t="array" ref="K115">VLOOKUP($B115,NAS1352First[],COLUMN(NAS1352First[Head Side Height Min]),FALSE)</f>
        <v>0.45</v>
      </c>
      <c r="L115" s="8" cm="1">
        <f t="array" ref="L115">VLOOKUP($B115,NAS1352First[],COLUMN(NAS1352First[Nominal Socket Size]),FALSE)</f>
        <v>0.375</v>
      </c>
      <c r="M115" s="8" cm="1">
        <f t="array" ref="M115">VLOOKUP($B115,NAS1352First[],COLUMN(NAS1352First[Key Engagement Min]),FALSE)</f>
        <v>0.245</v>
      </c>
      <c r="N115" s="8" cm="1">
        <f t="array" ref="N115">VLOOKUP($B115,NAS1352First[],COLUMN(NAS1352First[Wall Thickness Min]),FALSE)</f>
        <v>0.19</v>
      </c>
      <c r="O115" s="8" cm="1">
        <f t="array" ref="O115">VLOOKUP($B115,NAS1352First[],COLUMN(NAS1352First[Chamfer or Radius Max]),FALSE)</f>
        <v>0.01</v>
      </c>
      <c r="P115" s="8" cm="1">
        <f t="array" ref="P115">VLOOKUP($B115,NAS1352First[],COLUMN(NAS1352First[Minimum Basic Thread Length]),FALSE)</f>
        <v>1.5</v>
      </c>
      <c r="Q115" s="8" cm="1">
        <f t="array" ref="Q115">VLOOKUP($B115,NAS1352First[],COLUMN(NAS1352First[Drilled Hole Location Max]),FALSE)</f>
        <v>0.16</v>
      </c>
      <c r="R115" s="8" cm="1">
        <f t="array" ref="R115">VLOOKUP($B115,NAS1352First[],COLUMN(NAS1352First[Drilled Hole Location Min]),FALSE)</f>
        <v>0.14000000000000001</v>
      </c>
      <c r="S115" s="8" cm="1">
        <f t="array" ref="S115">VLOOKUP($B115,NAS1352First[],COLUMN(NAS1352First[Drilled Hole Diameter Max]),FALSE)</f>
        <v>6.7000000000000004E-2</v>
      </c>
      <c r="T115" s="8" cm="1">
        <f t="array" ref="T115">VLOOKUP($B115,NAS1352First[],COLUMN(NAS1352First[Drilled Hole Diameter Min]),FALSE)</f>
        <v>6.0999999999999999E-2</v>
      </c>
      <c r="U115" s="8" cm="1">
        <f t="array" ref="U115">VLOOKUP($B115,NAS1352First[],COLUMN(NAS1352First[Alloy Steel Minimum Breaking Strength (lb)]),FALSE)</f>
        <v>25500</v>
      </c>
      <c r="V115" s="8" cm="1">
        <f t="array" ref="V115">VLOOKUP($B115,NAS1352First[],COLUMN(NAS1352First[Corrosion Resistant Steel Minimum Breaking Strength (lb)]),FALSE)</f>
        <v>11300</v>
      </c>
      <c r="W115" s="17" cm="1">
        <f t="array" ref="W115">VLOOKUP($B115,NAS1352First[],COLUMN(NAS1352First[Heat Resistant Steel Minimum Breaking Strength (lb)]),FALSE)</f>
        <v>22700</v>
      </c>
    </row>
    <row r="116" spans="1:23" x14ac:dyDescent="0.25">
      <c r="A116" s="15" t="s">
        <v>633</v>
      </c>
      <c r="B116" s="8" t="str">
        <f t="shared" si="4"/>
        <v>8</v>
      </c>
      <c r="C116" s="8">
        <f t="shared" si="3"/>
        <v>1.25</v>
      </c>
      <c r="D116" s="8" t="str" cm="1">
        <f t="array" ref="D116">VLOOKUP($B116,NAS1352First[],COLUMN(NAS1352First[Thread Size]),FALSE)</f>
        <v>1⁄2-13 or 0.5000-13 UNC CLASS 3</v>
      </c>
      <c r="E116" s="8" cm="1">
        <f t="array" ref="E116">VLOOKUP($B116,NAS1352First[],COLUMN(NAS1352First[Body Diameter Max]),FALSE)</f>
        <v>0.5</v>
      </c>
      <c r="F116" s="8" cm="1">
        <f t="array" ref="F116">VLOOKUP($B116,NAS1352First[],COLUMN(NAS1352First[Body Diameter Max2]),FALSE)</f>
        <v>0.4919</v>
      </c>
      <c r="G116" s="8" cm="1">
        <f t="array" ref="G116">VLOOKUP($B116,NAS1352First[],COLUMN(NAS1352First[Head Diameter Max]),FALSE)</f>
        <v>0.75</v>
      </c>
      <c r="H116" s="8" cm="1">
        <f t="array" ref="H116">VLOOKUP($B116,NAS1352First[],COLUMN(NAS1352First[Head Diameter Min]),FALSE)</f>
        <v>0.73499999999999999</v>
      </c>
      <c r="I116" s="8" cm="1">
        <f t="array" ref="I116">VLOOKUP($B116,NAS1352First[],COLUMN(NAS1352First[Head Height Max]),FALSE)</f>
        <v>0.5</v>
      </c>
      <c r="J116" s="8" cm="1">
        <f t="array" ref="J116">VLOOKUP($B116,NAS1352First[],COLUMN(NAS1352First[Head Height Min]),FALSE)</f>
        <v>0.49199999999999999</v>
      </c>
      <c r="K116" s="8" cm="1">
        <f t="array" ref="K116">VLOOKUP($B116,NAS1352First[],COLUMN(NAS1352First[Head Side Height Min]),FALSE)</f>
        <v>0.45</v>
      </c>
      <c r="L116" s="8" cm="1">
        <f t="array" ref="L116">VLOOKUP($B116,NAS1352First[],COLUMN(NAS1352First[Nominal Socket Size]),FALSE)</f>
        <v>0.375</v>
      </c>
      <c r="M116" s="8" cm="1">
        <f t="array" ref="M116">VLOOKUP($B116,NAS1352First[],COLUMN(NAS1352First[Key Engagement Min]),FALSE)</f>
        <v>0.245</v>
      </c>
      <c r="N116" s="8" cm="1">
        <f t="array" ref="N116">VLOOKUP($B116,NAS1352First[],COLUMN(NAS1352First[Wall Thickness Min]),FALSE)</f>
        <v>0.19</v>
      </c>
      <c r="O116" s="8" cm="1">
        <f t="array" ref="O116">VLOOKUP($B116,NAS1352First[],COLUMN(NAS1352First[Chamfer or Radius Max]),FALSE)</f>
        <v>0.01</v>
      </c>
      <c r="P116" s="8" cm="1">
        <f t="array" ref="P116">VLOOKUP($B116,NAS1352First[],COLUMN(NAS1352First[Minimum Basic Thread Length]),FALSE)</f>
        <v>1.5</v>
      </c>
      <c r="Q116" s="8" cm="1">
        <f t="array" ref="Q116">VLOOKUP($B116,NAS1352First[],COLUMN(NAS1352First[Drilled Hole Location Max]),FALSE)</f>
        <v>0.16</v>
      </c>
      <c r="R116" s="8" cm="1">
        <f t="array" ref="R116">VLOOKUP($B116,NAS1352First[],COLUMN(NAS1352First[Drilled Hole Location Min]),FALSE)</f>
        <v>0.14000000000000001</v>
      </c>
      <c r="S116" s="8" cm="1">
        <f t="array" ref="S116">VLOOKUP($B116,NAS1352First[],COLUMN(NAS1352First[Drilled Hole Diameter Max]),FALSE)</f>
        <v>6.7000000000000004E-2</v>
      </c>
      <c r="T116" s="8" cm="1">
        <f t="array" ref="T116">VLOOKUP($B116,NAS1352First[],COLUMN(NAS1352First[Drilled Hole Diameter Min]),FALSE)</f>
        <v>6.0999999999999999E-2</v>
      </c>
      <c r="U116" s="8" cm="1">
        <f t="array" ref="U116">VLOOKUP($B116,NAS1352First[],COLUMN(NAS1352First[Alloy Steel Minimum Breaking Strength (lb)]),FALSE)</f>
        <v>25500</v>
      </c>
      <c r="V116" s="8" cm="1">
        <f t="array" ref="V116">VLOOKUP($B116,NAS1352First[],COLUMN(NAS1352First[Corrosion Resistant Steel Minimum Breaking Strength (lb)]),FALSE)</f>
        <v>11300</v>
      </c>
      <c r="W116" s="17" cm="1">
        <f t="array" ref="W116">VLOOKUP($B116,NAS1352First[],COLUMN(NAS1352First[Heat Resistant Steel Minimum Breaking Strength (lb)]),FALSE)</f>
        <v>22700</v>
      </c>
    </row>
    <row r="117" spans="1:23" x14ac:dyDescent="0.25">
      <c r="A117" s="15" t="s">
        <v>634</v>
      </c>
      <c r="B117" s="8" t="str">
        <f t="shared" si="4"/>
        <v>8</v>
      </c>
      <c r="C117" s="8">
        <f t="shared" si="3"/>
        <v>1.5</v>
      </c>
      <c r="D117" s="8" t="str" cm="1">
        <f t="array" ref="D117">VLOOKUP($B117,NAS1352First[],COLUMN(NAS1352First[Thread Size]),FALSE)</f>
        <v>1⁄2-13 or 0.5000-13 UNC CLASS 3</v>
      </c>
      <c r="E117" s="8" cm="1">
        <f t="array" ref="E117">VLOOKUP($B117,NAS1352First[],COLUMN(NAS1352First[Body Diameter Max]),FALSE)</f>
        <v>0.5</v>
      </c>
      <c r="F117" s="8" cm="1">
        <f t="array" ref="F117">VLOOKUP($B117,NAS1352First[],COLUMN(NAS1352First[Body Diameter Max2]),FALSE)</f>
        <v>0.4919</v>
      </c>
      <c r="G117" s="8" cm="1">
        <f t="array" ref="G117">VLOOKUP($B117,NAS1352First[],COLUMN(NAS1352First[Head Diameter Max]),FALSE)</f>
        <v>0.75</v>
      </c>
      <c r="H117" s="8" cm="1">
        <f t="array" ref="H117">VLOOKUP($B117,NAS1352First[],COLUMN(NAS1352First[Head Diameter Min]),FALSE)</f>
        <v>0.73499999999999999</v>
      </c>
      <c r="I117" s="8" cm="1">
        <f t="array" ref="I117">VLOOKUP($B117,NAS1352First[],COLUMN(NAS1352First[Head Height Max]),FALSE)</f>
        <v>0.5</v>
      </c>
      <c r="J117" s="8" cm="1">
        <f t="array" ref="J117">VLOOKUP($B117,NAS1352First[],COLUMN(NAS1352First[Head Height Min]),FALSE)</f>
        <v>0.49199999999999999</v>
      </c>
      <c r="K117" s="8" cm="1">
        <f t="array" ref="K117">VLOOKUP($B117,NAS1352First[],COLUMN(NAS1352First[Head Side Height Min]),FALSE)</f>
        <v>0.45</v>
      </c>
      <c r="L117" s="8" cm="1">
        <f t="array" ref="L117">VLOOKUP($B117,NAS1352First[],COLUMN(NAS1352First[Nominal Socket Size]),FALSE)</f>
        <v>0.375</v>
      </c>
      <c r="M117" s="8" cm="1">
        <f t="array" ref="M117">VLOOKUP($B117,NAS1352First[],COLUMN(NAS1352First[Key Engagement Min]),FALSE)</f>
        <v>0.245</v>
      </c>
      <c r="N117" s="8" cm="1">
        <f t="array" ref="N117">VLOOKUP($B117,NAS1352First[],COLUMN(NAS1352First[Wall Thickness Min]),FALSE)</f>
        <v>0.19</v>
      </c>
      <c r="O117" s="8" cm="1">
        <f t="array" ref="O117">VLOOKUP($B117,NAS1352First[],COLUMN(NAS1352First[Chamfer or Radius Max]),FALSE)</f>
        <v>0.01</v>
      </c>
      <c r="P117" s="8" cm="1">
        <f t="array" ref="P117">VLOOKUP($B117,NAS1352First[],COLUMN(NAS1352First[Minimum Basic Thread Length]),FALSE)</f>
        <v>1.5</v>
      </c>
      <c r="Q117" s="8" cm="1">
        <f t="array" ref="Q117">VLOOKUP($B117,NAS1352First[],COLUMN(NAS1352First[Drilled Hole Location Max]),FALSE)</f>
        <v>0.16</v>
      </c>
      <c r="R117" s="8" cm="1">
        <f t="array" ref="R117">VLOOKUP($B117,NAS1352First[],COLUMN(NAS1352First[Drilled Hole Location Min]),FALSE)</f>
        <v>0.14000000000000001</v>
      </c>
      <c r="S117" s="8" cm="1">
        <f t="array" ref="S117">VLOOKUP($B117,NAS1352First[],COLUMN(NAS1352First[Drilled Hole Diameter Max]),FALSE)</f>
        <v>6.7000000000000004E-2</v>
      </c>
      <c r="T117" s="8" cm="1">
        <f t="array" ref="T117">VLOOKUP($B117,NAS1352First[],COLUMN(NAS1352First[Drilled Hole Diameter Min]),FALSE)</f>
        <v>6.0999999999999999E-2</v>
      </c>
      <c r="U117" s="8" cm="1">
        <f t="array" ref="U117">VLOOKUP($B117,NAS1352First[],COLUMN(NAS1352First[Alloy Steel Minimum Breaking Strength (lb)]),FALSE)</f>
        <v>25500</v>
      </c>
      <c r="V117" s="8" cm="1">
        <f t="array" ref="V117">VLOOKUP($B117,NAS1352First[],COLUMN(NAS1352First[Corrosion Resistant Steel Minimum Breaking Strength (lb)]),FALSE)</f>
        <v>11300</v>
      </c>
      <c r="W117" s="17" cm="1">
        <f t="array" ref="W117">VLOOKUP($B117,NAS1352First[],COLUMN(NAS1352First[Heat Resistant Steel Minimum Breaking Strength (lb)]),FALSE)</f>
        <v>22700</v>
      </c>
    </row>
    <row r="118" spans="1:23" x14ac:dyDescent="0.25">
      <c r="A118" s="15" t="s">
        <v>635</v>
      </c>
      <c r="B118" s="8" t="str">
        <f t="shared" si="4"/>
        <v>8</v>
      </c>
      <c r="C118" s="8">
        <f t="shared" si="3"/>
        <v>1.75</v>
      </c>
      <c r="D118" s="8" t="str" cm="1">
        <f t="array" ref="D118">VLOOKUP($B118,NAS1352First[],COLUMN(NAS1352First[Thread Size]),FALSE)</f>
        <v>1⁄2-13 or 0.5000-13 UNC CLASS 3</v>
      </c>
      <c r="E118" s="8" cm="1">
        <f t="array" ref="E118">VLOOKUP($B118,NAS1352First[],COLUMN(NAS1352First[Body Diameter Max]),FALSE)</f>
        <v>0.5</v>
      </c>
      <c r="F118" s="8" cm="1">
        <f t="array" ref="F118">VLOOKUP($B118,NAS1352First[],COLUMN(NAS1352First[Body Diameter Max2]),FALSE)</f>
        <v>0.4919</v>
      </c>
      <c r="G118" s="8" cm="1">
        <f t="array" ref="G118">VLOOKUP($B118,NAS1352First[],COLUMN(NAS1352First[Head Diameter Max]),FALSE)</f>
        <v>0.75</v>
      </c>
      <c r="H118" s="8" cm="1">
        <f t="array" ref="H118">VLOOKUP($B118,NAS1352First[],COLUMN(NAS1352First[Head Diameter Min]),FALSE)</f>
        <v>0.73499999999999999</v>
      </c>
      <c r="I118" s="8" cm="1">
        <f t="array" ref="I118">VLOOKUP($B118,NAS1352First[],COLUMN(NAS1352First[Head Height Max]),FALSE)</f>
        <v>0.5</v>
      </c>
      <c r="J118" s="8" cm="1">
        <f t="array" ref="J118">VLOOKUP($B118,NAS1352First[],COLUMN(NAS1352First[Head Height Min]),FALSE)</f>
        <v>0.49199999999999999</v>
      </c>
      <c r="K118" s="8" cm="1">
        <f t="array" ref="K118">VLOOKUP($B118,NAS1352First[],COLUMN(NAS1352First[Head Side Height Min]),FALSE)</f>
        <v>0.45</v>
      </c>
      <c r="L118" s="8" cm="1">
        <f t="array" ref="L118">VLOOKUP($B118,NAS1352First[],COLUMN(NAS1352First[Nominal Socket Size]),FALSE)</f>
        <v>0.375</v>
      </c>
      <c r="M118" s="8" cm="1">
        <f t="array" ref="M118">VLOOKUP($B118,NAS1352First[],COLUMN(NAS1352First[Key Engagement Min]),FALSE)</f>
        <v>0.245</v>
      </c>
      <c r="N118" s="8" cm="1">
        <f t="array" ref="N118">VLOOKUP($B118,NAS1352First[],COLUMN(NAS1352First[Wall Thickness Min]),FALSE)</f>
        <v>0.19</v>
      </c>
      <c r="O118" s="8" cm="1">
        <f t="array" ref="O118">VLOOKUP($B118,NAS1352First[],COLUMN(NAS1352First[Chamfer or Radius Max]),FALSE)</f>
        <v>0.01</v>
      </c>
      <c r="P118" s="8" cm="1">
        <f t="array" ref="P118">VLOOKUP($B118,NAS1352First[],COLUMN(NAS1352First[Minimum Basic Thread Length]),FALSE)</f>
        <v>1.5</v>
      </c>
      <c r="Q118" s="8" cm="1">
        <f t="array" ref="Q118">VLOOKUP($B118,NAS1352First[],COLUMN(NAS1352First[Drilled Hole Location Max]),FALSE)</f>
        <v>0.16</v>
      </c>
      <c r="R118" s="8" cm="1">
        <f t="array" ref="R118">VLOOKUP($B118,NAS1352First[],COLUMN(NAS1352First[Drilled Hole Location Min]),FALSE)</f>
        <v>0.14000000000000001</v>
      </c>
      <c r="S118" s="8" cm="1">
        <f t="array" ref="S118">VLOOKUP($B118,NAS1352First[],COLUMN(NAS1352First[Drilled Hole Diameter Max]),FALSE)</f>
        <v>6.7000000000000004E-2</v>
      </c>
      <c r="T118" s="8" cm="1">
        <f t="array" ref="T118">VLOOKUP($B118,NAS1352First[],COLUMN(NAS1352First[Drilled Hole Diameter Min]),FALSE)</f>
        <v>6.0999999999999999E-2</v>
      </c>
      <c r="U118" s="8" cm="1">
        <f t="array" ref="U118">VLOOKUP($B118,NAS1352First[],COLUMN(NAS1352First[Alloy Steel Minimum Breaking Strength (lb)]),FALSE)</f>
        <v>25500</v>
      </c>
      <c r="V118" s="8" cm="1">
        <f t="array" ref="V118">VLOOKUP($B118,NAS1352First[],COLUMN(NAS1352First[Corrosion Resistant Steel Minimum Breaking Strength (lb)]),FALSE)</f>
        <v>11300</v>
      </c>
      <c r="W118" s="17" cm="1">
        <f t="array" ref="W118">VLOOKUP($B118,NAS1352First[],COLUMN(NAS1352First[Heat Resistant Steel Minimum Breaking Strength (lb)]),FALSE)</f>
        <v>22700</v>
      </c>
    </row>
    <row r="119" spans="1:23" x14ac:dyDescent="0.25">
      <c r="A119" s="15" t="s">
        <v>636</v>
      </c>
      <c r="B119" s="8" t="str">
        <f t="shared" si="4"/>
        <v>8</v>
      </c>
      <c r="C119" s="8">
        <f t="shared" ref="C119:C150" si="5">_xlfn.NUMBERVALUE(RIGHT(A119,LEN(A119)-SEARCH("~*",A119)))/16</f>
        <v>2</v>
      </c>
      <c r="D119" s="8" t="str" cm="1">
        <f t="array" ref="D119">VLOOKUP($B119,NAS1352First[],COLUMN(NAS1352First[Thread Size]),FALSE)</f>
        <v>1⁄2-13 or 0.5000-13 UNC CLASS 3</v>
      </c>
      <c r="E119" s="8" cm="1">
        <f t="array" ref="E119">VLOOKUP($B119,NAS1352First[],COLUMN(NAS1352First[Body Diameter Max]),FALSE)</f>
        <v>0.5</v>
      </c>
      <c r="F119" s="8" cm="1">
        <f t="array" ref="F119">VLOOKUP($B119,NAS1352First[],COLUMN(NAS1352First[Body Diameter Max2]),FALSE)</f>
        <v>0.4919</v>
      </c>
      <c r="G119" s="8" cm="1">
        <f t="array" ref="G119">VLOOKUP($B119,NAS1352First[],COLUMN(NAS1352First[Head Diameter Max]),FALSE)</f>
        <v>0.75</v>
      </c>
      <c r="H119" s="8" cm="1">
        <f t="array" ref="H119">VLOOKUP($B119,NAS1352First[],COLUMN(NAS1352First[Head Diameter Min]),FALSE)</f>
        <v>0.73499999999999999</v>
      </c>
      <c r="I119" s="8" cm="1">
        <f t="array" ref="I119">VLOOKUP($B119,NAS1352First[],COLUMN(NAS1352First[Head Height Max]),FALSE)</f>
        <v>0.5</v>
      </c>
      <c r="J119" s="8" cm="1">
        <f t="array" ref="J119">VLOOKUP($B119,NAS1352First[],COLUMN(NAS1352First[Head Height Min]),FALSE)</f>
        <v>0.49199999999999999</v>
      </c>
      <c r="K119" s="8" cm="1">
        <f t="array" ref="K119">VLOOKUP($B119,NAS1352First[],COLUMN(NAS1352First[Head Side Height Min]),FALSE)</f>
        <v>0.45</v>
      </c>
      <c r="L119" s="8" cm="1">
        <f t="array" ref="L119">VLOOKUP($B119,NAS1352First[],COLUMN(NAS1352First[Nominal Socket Size]),FALSE)</f>
        <v>0.375</v>
      </c>
      <c r="M119" s="8" cm="1">
        <f t="array" ref="M119">VLOOKUP($B119,NAS1352First[],COLUMN(NAS1352First[Key Engagement Min]),FALSE)</f>
        <v>0.245</v>
      </c>
      <c r="N119" s="8" cm="1">
        <f t="array" ref="N119">VLOOKUP($B119,NAS1352First[],COLUMN(NAS1352First[Wall Thickness Min]),FALSE)</f>
        <v>0.19</v>
      </c>
      <c r="O119" s="8" cm="1">
        <f t="array" ref="O119">VLOOKUP($B119,NAS1352First[],COLUMN(NAS1352First[Chamfer or Radius Max]),FALSE)</f>
        <v>0.01</v>
      </c>
      <c r="P119" s="8" cm="1">
        <f t="array" ref="P119">VLOOKUP($B119,NAS1352First[],COLUMN(NAS1352First[Minimum Basic Thread Length]),FALSE)</f>
        <v>1.5</v>
      </c>
      <c r="Q119" s="8" cm="1">
        <f t="array" ref="Q119">VLOOKUP($B119,NAS1352First[],COLUMN(NAS1352First[Drilled Hole Location Max]),FALSE)</f>
        <v>0.16</v>
      </c>
      <c r="R119" s="8" cm="1">
        <f t="array" ref="R119">VLOOKUP($B119,NAS1352First[],COLUMN(NAS1352First[Drilled Hole Location Min]),FALSE)</f>
        <v>0.14000000000000001</v>
      </c>
      <c r="S119" s="8" cm="1">
        <f t="array" ref="S119">VLOOKUP($B119,NAS1352First[],COLUMN(NAS1352First[Drilled Hole Diameter Max]),FALSE)</f>
        <v>6.7000000000000004E-2</v>
      </c>
      <c r="T119" s="8" cm="1">
        <f t="array" ref="T119">VLOOKUP($B119,NAS1352First[],COLUMN(NAS1352First[Drilled Hole Diameter Min]),FALSE)</f>
        <v>6.0999999999999999E-2</v>
      </c>
      <c r="U119" s="8" cm="1">
        <f t="array" ref="U119">VLOOKUP($B119,NAS1352First[],COLUMN(NAS1352First[Alloy Steel Minimum Breaking Strength (lb)]),FALSE)</f>
        <v>25500</v>
      </c>
      <c r="V119" s="8" cm="1">
        <f t="array" ref="V119">VLOOKUP($B119,NAS1352First[],COLUMN(NAS1352First[Corrosion Resistant Steel Minimum Breaking Strength (lb)]),FALSE)</f>
        <v>11300</v>
      </c>
      <c r="W119" s="17" cm="1">
        <f t="array" ref="W119">VLOOKUP($B119,NAS1352First[],COLUMN(NAS1352First[Heat Resistant Steel Minimum Breaking Strength (lb)]),FALSE)</f>
        <v>22700</v>
      </c>
    </row>
    <row r="120" spans="1:23" x14ac:dyDescent="0.25">
      <c r="A120" s="15" t="s">
        <v>637</v>
      </c>
      <c r="B120" s="8" t="str">
        <f t="shared" si="4"/>
        <v>8</v>
      </c>
      <c r="C120" s="8">
        <f t="shared" si="5"/>
        <v>2.25</v>
      </c>
      <c r="D120" s="8" t="str" cm="1">
        <f t="array" ref="D120">VLOOKUP($B120,NAS1352First[],COLUMN(NAS1352First[Thread Size]),FALSE)</f>
        <v>1⁄2-13 or 0.5000-13 UNC CLASS 3</v>
      </c>
      <c r="E120" s="8" cm="1">
        <f t="array" ref="E120">VLOOKUP($B120,NAS1352First[],COLUMN(NAS1352First[Body Diameter Max]),FALSE)</f>
        <v>0.5</v>
      </c>
      <c r="F120" s="8" cm="1">
        <f t="array" ref="F120">VLOOKUP($B120,NAS1352First[],COLUMN(NAS1352First[Body Diameter Max2]),FALSE)</f>
        <v>0.4919</v>
      </c>
      <c r="G120" s="8" cm="1">
        <f t="array" ref="G120">VLOOKUP($B120,NAS1352First[],COLUMN(NAS1352First[Head Diameter Max]),FALSE)</f>
        <v>0.75</v>
      </c>
      <c r="H120" s="8" cm="1">
        <f t="array" ref="H120">VLOOKUP($B120,NAS1352First[],COLUMN(NAS1352First[Head Diameter Min]),FALSE)</f>
        <v>0.73499999999999999</v>
      </c>
      <c r="I120" s="8" cm="1">
        <f t="array" ref="I120">VLOOKUP($B120,NAS1352First[],COLUMN(NAS1352First[Head Height Max]),FALSE)</f>
        <v>0.5</v>
      </c>
      <c r="J120" s="8" cm="1">
        <f t="array" ref="J120">VLOOKUP($B120,NAS1352First[],COLUMN(NAS1352First[Head Height Min]),FALSE)</f>
        <v>0.49199999999999999</v>
      </c>
      <c r="K120" s="8" cm="1">
        <f t="array" ref="K120">VLOOKUP($B120,NAS1352First[],COLUMN(NAS1352First[Head Side Height Min]),FALSE)</f>
        <v>0.45</v>
      </c>
      <c r="L120" s="8" cm="1">
        <f t="array" ref="L120">VLOOKUP($B120,NAS1352First[],COLUMN(NAS1352First[Nominal Socket Size]),FALSE)</f>
        <v>0.375</v>
      </c>
      <c r="M120" s="8" cm="1">
        <f t="array" ref="M120">VLOOKUP($B120,NAS1352First[],COLUMN(NAS1352First[Key Engagement Min]),FALSE)</f>
        <v>0.245</v>
      </c>
      <c r="N120" s="8" cm="1">
        <f t="array" ref="N120">VLOOKUP($B120,NAS1352First[],COLUMN(NAS1352First[Wall Thickness Min]),FALSE)</f>
        <v>0.19</v>
      </c>
      <c r="O120" s="8" cm="1">
        <f t="array" ref="O120">VLOOKUP($B120,NAS1352First[],COLUMN(NAS1352First[Chamfer or Radius Max]),FALSE)</f>
        <v>0.01</v>
      </c>
      <c r="P120" s="8" cm="1">
        <f t="array" ref="P120">VLOOKUP($B120,NAS1352First[],COLUMN(NAS1352First[Minimum Basic Thread Length]),FALSE)</f>
        <v>1.5</v>
      </c>
      <c r="Q120" s="8" cm="1">
        <f t="array" ref="Q120">VLOOKUP($B120,NAS1352First[],COLUMN(NAS1352First[Drilled Hole Location Max]),FALSE)</f>
        <v>0.16</v>
      </c>
      <c r="R120" s="8" cm="1">
        <f t="array" ref="R120">VLOOKUP($B120,NAS1352First[],COLUMN(NAS1352First[Drilled Hole Location Min]),FALSE)</f>
        <v>0.14000000000000001</v>
      </c>
      <c r="S120" s="8" cm="1">
        <f t="array" ref="S120">VLOOKUP($B120,NAS1352First[],COLUMN(NAS1352First[Drilled Hole Diameter Max]),FALSE)</f>
        <v>6.7000000000000004E-2</v>
      </c>
      <c r="T120" s="8" cm="1">
        <f t="array" ref="T120">VLOOKUP($B120,NAS1352First[],COLUMN(NAS1352First[Drilled Hole Diameter Min]),FALSE)</f>
        <v>6.0999999999999999E-2</v>
      </c>
      <c r="U120" s="8" cm="1">
        <f t="array" ref="U120">VLOOKUP($B120,NAS1352First[],COLUMN(NAS1352First[Alloy Steel Minimum Breaking Strength (lb)]),FALSE)</f>
        <v>25500</v>
      </c>
      <c r="V120" s="8" cm="1">
        <f t="array" ref="V120">VLOOKUP($B120,NAS1352First[],COLUMN(NAS1352First[Corrosion Resistant Steel Minimum Breaking Strength (lb)]),FALSE)</f>
        <v>11300</v>
      </c>
      <c r="W120" s="17" cm="1">
        <f t="array" ref="W120">VLOOKUP($B120,NAS1352First[],COLUMN(NAS1352First[Heat Resistant Steel Minimum Breaking Strength (lb)]),FALSE)</f>
        <v>22700</v>
      </c>
    </row>
    <row r="121" spans="1:23" x14ac:dyDescent="0.25">
      <c r="A121" s="15" t="s">
        <v>638</v>
      </c>
      <c r="B121" s="8" t="str">
        <f t="shared" si="4"/>
        <v>8</v>
      </c>
      <c r="C121" s="8">
        <f t="shared" si="5"/>
        <v>2.5</v>
      </c>
      <c r="D121" s="8" t="str" cm="1">
        <f t="array" ref="D121">VLOOKUP($B121,NAS1352First[],COLUMN(NAS1352First[Thread Size]),FALSE)</f>
        <v>1⁄2-13 or 0.5000-13 UNC CLASS 3</v>
      </c>
      <c r="E121" s="8" cm="1">
        <f t="array" ref="E121">VLOOKUP($B121,NAS1352First[],COLUMN(NAS1352First[Body Diameter Max]),FALSE)</f>
        <v>0.5</v>
      </c>
      <c r="F121" s="8" cm="1">
        <f t="array" ref="F121">VLOOKUP($B121,NAS1352First[],COLUMN(NAS1352First[Body Diameter Max2]),FALSE)</f>
        <v>0.4919</v>
      </c>
      <c r="G121" s="8" cm="1">
        <f t="array" ref="G121">VLOOKUP($B121,NAS1352First[],COLUMN(NAS1352First[Head Diameter Max]),FALSE)</f>
        <v>0.75</v>
      </c>
      <c r="H121" s="8" cm="1">
        <f t="array" ref="H121">VLOOKUP($B121,NAS1352First[],COLUMN(NAS1352First[Head Diameter Min]),FALSE)</f>
        <v>0.73499999999999999</v>
      </c>
      <c r="I121" s="8" cm="1">
        <f t="array" ref="I121">VLOOKUP($B121,NAS1352First[],COLUMN(NAS1352First[Head Height Max]),FALSE)</f>
        <v>0.5</v>
      </c>
      <c r="J121" s="8" cm="1">
        <f t="array" ref="J121">VLOOKUP($B121,NAS1352First[],COLUMN(NAS1352First[Head Height Min]),FALSE)</f>
        <v>0.49199999999999999</v>
      </c>
      <c r="K121" s="8" cm="1">
        <f t="array" ref="K121">VLOOKUP($B121,NAS1352First[],COLUMN(NAS1352First[Head Side Height Min]),FALSE)</f>
        <v>0.45</v>
      </c>
      <c r="L121" s="8" cm="1">
        <f t="array" ref="L121">VLOOKUP($B121,NAS1352First[],COLUMN(NAS1352First[Nominal Socket Size]),FALSE)</f>
        <v>0.375</v>
      </c>
      <c r="M121" s="8" cm="1">
        <f t="array" ref="M121">VLOOKUP($B121,NAS1352First[],COLUMN(NAS1352First[Key Engagement Min]),FALSE)</f>
        <v>0.245</v>
      </c>
      <c r="N121" s="8" cm="1">
        <f t="array" ref="N121">VLOOKUP($B121,NAS1352First[],COLUMN(NAS1352First[Wall Thickness Min]),FALSE)</f>
        <v>0.19</v>
      </c>
      <c r="O121" s="8" cm="1">
        <f t="array" ref="O121">VLOOKUP($B121,NAS1352First[],COLUMN(NAS1352First[Chamfer or Radius Max]),FALSE)</f>
        <v>0.01</v>
      </c>
      <c r="P121" s="8" cm="1">
        <f t="array" ref="P121">VLOOKUP($B121,NAS1352First[],COLUMN(NAS1352First[Minimum Basic Thread Length]),FALSE)</f>
        <v>1.5</v>
      </c>
      <c r="Q121" s="8" cm="1">
        <f t="array" ref="Q121">VLOOKUP($B121,NAS1352First[],COLUMN(NAS1352First[Drilled Hole Location Max]),FALSE)</f>
        <v>0.16</v>
      </c>
      <c r="R121" s="8" cm="1">
        <f t="array" ref="R121">VLOOKUP($B121,NAS1352First[],COLUMN(NAS1352First[Drilled Hole Location Min]),FALSE)</f>
        <v>0.14000000000000001</v>
      </c>
      <c r="S121" s="8" cm="1">
        <f t="array" ref="S121">VLOOKUP($B121,NAS1352First[],COLUMN(NAS1352First[Drilled Hole Diameter Max]),FALSE)</f>
        <v>6.7000000000000004E-2</v>
      </c>
      <c r="T121" s="8" cm="1">
        <f t="array" ref="T121">VLOOKUP($B121,NAS1352First[],COLUMN(NAS1352First[Drilled Hole Diameter Min]),FALSE)</f>
        <v>6.0999999999999999E-2</v>
      </c>
      <c r="U121" s="8" cm="1">
        <f t="array" ref="U121">VLOOKUP($B121,NAS1352First[],COLUMN(NAS1352First[Alloy Steel Minimum Breaking Strength (lb)]),FALSE)</f>
        <v>25500</v>
      </c>
      <c r="V121" s="8" cm="1">
        <f t="array" ref="V121">VLOOKUP($B121,NAS1352First[],COLUMN(NAS1352First[Corrosion Resistant Steel Minimum Breaking Strength (lb)]),FALSE)</f>
        <v>11300</v>
      </c>
      <c r="W121" s="17" cm="1">
        <f t="array" ref="W121">VLOOKUP($B121,NAS1352First[],COLUMN(NAS1352First[Heat Resistant Steel Minimum Breaking Strength (lb)]),FALSE)</f>
        <v>22700</v>
      </c>
    </row>
    <row r="122" spans="1:23" x14ac:dyDescent="0.25">
      <c r="A122" s="15" t="s">
        <v>639</v>
      </c>
      <c r="B122" s="8" t="str">
        <f t="shared" si="4"/>
        <v>8</v>
      </c>
      <c r="C122" s="8">
        <f t="shared" si="5"/>
        <v>2.75</v>
      </c>
      <c r="D122" s="8" t="str" cm="1">
        <f t="array" ref="D122">VLOOKUP($B122,NAS1352First[],COLUMN(NAS1352First[Thread Size]),FALSE)</f>
        <v>1⁄2-13 or 0.5000-13 UNC CLASS 3</v>
      </c>
      <c r="E122" s="8" cm="1">
        <f t="array" ref="E122">VLOOKUP($B122,NAS1352First[],COLUMN(NAS1352First[Body Diameter Max]),FALSE)</f>
        <v>0.5</v>
      </c>
      <c r="F122" s="8" cm="1">
        <f t="array" ref="F122">VLOOKUP($B122,NAS1352First[],COLUMN(NAS1352First[Body Diameter Max2]),FALSE)</f>
        <v>0.4919</v>
      </c>
      <c r="G122" s="8" cm="1">
        <f t="array" ref="G122">VLOOKUP($B122,NAS1352First[],COLUMN(NAS1352First[Head Diameter Max]),FALSE)</f>
        <v>0.75</v>
      </c>
      <c r="H122" s="8" cm="1">
        <f t="array" ref="H122">VLOOKUP($B122,NAS1352First[],COLUMN(NAS1352First[Head Diameter Min]),FALSE)</f>
        <v>0.73499999999999999</v>
      </c>
      <c r="I122" s="8" cm="1">
        <f t="array" ref="I122">VLOOKUP($B122,NAS1352First[],COLUMN(NAS1352First[Head Height Max]),FALSE)</f>
        <v>0.5</v>
      </c>
      <c r="J122" s="8" cm="1">
        <f t="array" ref="J122">VLOOKUP($B122,NAS1352First[],COLUMN(NAS1352First[Head Height Min]),FALSE)</f>
        <v>0.49199999999999999</v>
      </c>
      <c r="K122" s="8" cm="1">
        <f t="array" ref="K122">VLOOKUP($B122,NAS1352First[],COLUMN(NAS1352First[Head Side Height Min]),FALSE)</f>
        <v>0.45</v>
      </c>
      <c r="L122" s="8" cm="1">
        <f t="array" ref="L122">VLOOKUP($B122,NAS1352First[],COLUMN(NAS1352First[Nominal Socket Size]),FALSE)</f>
        <v>0.375</v>
      </c>
      <c r="M122" s="8" cm="1">
        <f t="array" ref="M122">VLOOKUP($B122,NAS1352First[],COLUMN(NAS1352First[Key Engagement Min]),FALSE)</f>
        <v>0.245</v>
      </c>
      <c r="N122" s="8" cm="1">
        <f t="array" ref="N122">VLOOKUP($B122,NAS1352First[],COLUMN(NAS1352First[Wall Thickness Min]),FALSE)</f>
        <v>0.19</v>
      </c>
      <c r="O122" s="8" cm="1">
        <f t="array" ref="O122">VLOOKUP($B122,NAS1352First[],COLUMN(NAS1352First[Chamfer or Radius Max]),FALSE)</f>
        <v>0.01</v>
      </c>
      <c r="P122" s="8" cm="1">
        <f t="array" ref="P122">VLOOKUP($B122,NAS1352First[],COLUMN(NAS1352First[Minimum Basic Thread Length]),FALSE)</f>
        <v>1.5</v>
      </c>
      <c r="Q122" s="8" cm="1">
        <f t="array" ref="Q122">VLOOKUP($B122,NAS1352First[],COLUMN(NAS1352First[Drilled Hole Location Max]),FALSE)</f>
        <v>0.16</v>
      </c>
      <c r="R122" s="8" cm="1">
        <f t="array" ref="R122">VLOOKUP($B122,NAS1352First[],COLUMN(NAS1352First[Drilled Hole Location Min]),FALSE)</f>
        <v>0.14000000000000001</v>
      </c>
      <c r="S122" s="8" cm="1">
        <f t="array" ref="S122">VLOOKUP($B122,NAS1352First[],COLUMN(NAS1352First[Drilled Hole Diameter Max]),FALSE)</f>
        <v>6.7000000000000004E-2</v>
      </c>
      <c r="T122" s="8" cm="1">
        <f t="array" ref="T122">VLOOKUP($B122,NAS1352First[],COLUMN(NAS1352First[Drilled Hole Diameter Min]),FALSE)</f>
        <v>6.0999999999999999E-2</v>
      </c>
      <c r="U122" s="8" cm="1">
        <f t="array" ref="U122">VLOOKUP($B122,NAS1352First[],COLUMN(NAS1352First[Alloy Steel Minimum Breaking Strength (lb)]),FALSE)</f>
        <v>25500</v>
      </c>
      <c r="V122" s="8" cm="1">
        <f t="array" ref="V122">VLOOKUP($B122,NAS1352First[],COLUMN(NAS1352First[Corrosion Resistant Steel Minimum Breaking Strength (lb)]),FALSE)</f>
        <v>11300</v>
      </c>
      <c r="W122" s="17" cm="1">
        <f t="array" ref="W122">VLOOKUP($B122,NAS1352First[],COLUMN(NAS1352First[Heat Resistant Steel Minimum Breaking Strength (lb)]),FALSE)</f>
        <v>22700</v>
      </c>
    </row>
    <row r="123" spans="1:23" x14ac:dyDescent="0.25">
      <c r="A123" s="15" t="s">
        <v>640</v>
      </c>
      <c r="B123" s="8" t="str">
        <f t="shared" si="4"/>
        <v>8</v>
      </c>
      <c r="C123" s="8">
        <f t="shared" si="5"/>
        <v>3</v>
      </c>
      <c r="D123" s="8" t="str" cm="1">
        <f t="array" ref="D123">VLOOKUP($B123,NAS1352First[],COLUMN(NAS1352First[Thread Size]),FALSE)</f>
        <v>1⁄2-13 or 0.5000-13 UNC CLASS 3</v>
      </c>
      <c r="E123" s="8" cm="1">
        <f t="array" ref="E123">VLOOKUP($B123,NAS1352First[],COLUMN(NAS1352First[Body Diameter Max]),FALSE)</f>
        <v>0.5</v>
      </c>
      <c r="F123" s="8" cm="1">
        <f t="array" ref="F123">VLOOKUP($B123,NAS1352First[],COLUMN(NAS1352First[Body Diameter Max2]),FALSE)</f>
        <v>0.4919</v>
      </c>
      <c r="G123" s="8" cm="1">
        <f t="array" ref="G123">VLOOKUP($B123,NAS1352First[],COLUMN(NAS1352First[Head Diameter Max]),FALSE)</f>
        <v>0.75</v>
      </c>
      <c r="H123" s="8" cm="1">
        <f t="array" ref="H123">VLOOKUP($B123,NAS1352First[],COLUMN(NAS1352First[Head Diameter Min]),FALSE)</f>
        <v>0.73499999999999999</v>
      </c>
      <c r="I123" s="8" cm="1">
        <f t="array" ref="I123">VLOOKUP($B123,NAS1352First[],COLUMN(NAS1352First[Head Height Max]),FALSE)</f>
        <v>0.5</v>
      </c>
      <c r="J123" s="8" cm="1">
        <f t="array" ref="J123">VLOOKUP($B123,NAS1352First[],COLUMN(NAS1352First[Head Height Min]),FALSE)</f>
        <v>0.49199999999999999</v>
      </c>
      <c r="K123" s="8" cm="1">
        <f t="array" ref="K123">VLOOKUP($B123,NAS1352First[],COLUMN(NAS1352First[Head Side Height Min]),FALSE)</f>
        <v>0.45</v>
      </c>
      <c r="L123" s="8" cm="1">
        <f t="array" ref="L123">VLOOKUP($B123,NAS1352First[],COLUMN(NAS1352First[Nominal Socket Size]),FALSE)</f>
        <v>0.375</v>
      </c>
      <c r="M123" s="8" cm="1">
        <f t="array" ref="M123">VLOOKUP($B123,NAS1352First[],COLUMN(NAS1352First[Key Engagement Min]),FALSE)</f>
        <v>0.245</v>
      </c>
      <c r="N123" s="8" cm="1">
        <f t="array" ref="N123">VLOOKUP($B123,NAS1352First[],COLUMN(NAS1352First[Wall Thickness Min]),FALSE)</f>
        <v>0.19</v>
      </c>
      <c r="O123" s="8" cm="1">
        <f t="array" ref="O123">VLOOKUP($B123,NAS1352First[],COLUMN(NAS1352First[Chamfer or Radius Max]),FALSE)</f>
        <v>0.01</v>
      </c>
      <c r="P123" s="8" cm="1">
        <f t="array" ref="P123">VLOOKUP($B123,NAS1352First[],COLUMN(NAS1352First[Minimum Basic Thread Length]),FALSE)</f>
        <v>1.5</v>
      </c>
      <c r="Q123" s="8" cm="1">
        <f t="array" ref="Q123">VLOOKUP($B123,NAS1352First[],COLUMN(NAS1352First[Drilled Hole Location Max]),FALSE)</f>
        <v>0.16</v>
      </c>
      <c r="R123" s="8" cm="1">
        <f t="array" ref="R123">VLOOKUP($B123,NAS1352First[],COLUMN(NAS1352First[Drilled Hole Location Min]),FALSE)</f>
        <v>0.14000000000000001</v>
      </c>
      <c r="S123" s="8" cm="1">
        <f t="array" ref="S123">VLOOKUP($B123,NAS1352First[],COLUMN(NAS1352First[Drilled Hole Diameter Max]),FALSE)</f>
        <v>6.7000000000000004E-2</v>
      </c>
      <c r="T123" s="8" cm="1">
        <f t="array" ref="T123">VLOOKUP($B123,NAS1352First[],COLUMN(NAS1352First[Drilled Hole Diameter Min]),FALSE)</f>
        <v>6.0999999999999999E-2</v>
      </c>
      <c r="U123" s="8" cm="1">
        <f t="array" ref="U123">VLOOKUP($B123,NAS1352First[],COLUMN(NAS1352First[Alloy Steel Minimum Breaking Strength (lb)]),FALSE)</f>
        <v>25500</v>
      </c>
      <c r="V123" s="8" cm="1">
        <f t="array" ref="V123">VLOOKUP($B123,NAS1352First[],COLUMN(NAS1352First[Corrosion Resistant Steel Minimum Breaking Strength (lb)]),FALSE)</f>
        <v>11300</v>
      </c>
      <c r="W123" s="17" cm="1">
        <f t="array" ref="W123">VLOOKUP($B123,NAS1352First[],COLUMN(NAS1352First[Heat Resistant Steel Minimum Breaking Strength (lb)]),FALSE)</f>
        <v>22700</v>
      </c>
    </row>
    <row r="124" spans="1:23" x14ac:dyDescent="0.25">
      <c r="A124" s="15" t="s">
        <v>641</v>
      </c>
      <c r="B124" s="8" t="str">
        <f t="shared" si="4"/>
        <v>10</v>
      </c>
      <c r="C124" s="8">
        <f t="shared" si="5"/>
        <v>1</v>
      </c>
      <c r="D124" s="8" t="str" cm="1">
        <f t="array" ref="D124">VLOOKUP($B124,NAS1352First[],COLUMN(NAS1352First[Thread Size]),FALSE)</f>
        <v>5/8-11 UNC CLASS 3</v>
      </c>
      <c r="E124" s="8" cm="1">
        <f t="array" ref="E124">VLOOKUP($B124,NAS1352First[],COLUMN(NAS1352First[Body Diameter Max]),FALSE)</f>
        <v>0.625</v>
      </c>
      <c r="F124" s="8" cm="1">
        <f t="array" ref="F124">VLOOKUP($B124,NAS1352First[],COLUMN(NAS1352First[Body Diameter Max2]),FALSE)</f>
        <v>0.61629999999999996</v>
      </c>
      <c r="G124" s="8" cm="1">
        <f t="array" ref="G124">VLOOKUP($B124,NAS1352First[],COLUMN(NAS1352First[Head Diameter Max]),FALSE)</f>
        <v>0.93700000000000006</v>
      </c>
      <c r="H124" s="8" cm="1">
        <f t="array" ref="H124">VLOOKUP($B124,NAS1352First[],COLUMN(NAS1352First[Head Diameter Min]),FALSE)</f>
        <v>0.92100000000000004</v>
      </c>
      <c r="I124" s="8" cm="1">
        <f t="array" ref="I124">VLOOKUP($B124,NAS1352First[],COLUMN(NAS1352First[Head Height Max]),FALSE)</f>
        <v>0.625</v>
      </c>
      <c r="J124" s="8" cm="1">
        <f t="array" ref="J124">VLOOKUP($B124,NAS1352First[],COLUMN(NAS1352First[Head Height Min]),FALSE)</f>
        <v>0.61599999999999999</v>
      </c>
      <c r="K124" s="8" cm="1">
        <f t="array" ref="K124">VLOOKUP($B124,NAS1352First[],COLUMN(NAS1352First[Head Side Height Min]),FALSE)</f>
        <v>0.56200000000000006</v>
      </c>
      <c r="L124" s="8" cm="1">
        <f t="array" ref="L124">VLOOKUP($B124,NAS1352First[],COLUMN(NAS1352First[Nominal Socket Size]),FALSE)</f>
        <v>0.5</v>
      </c>
      <c r="M124" s="8" cm="1">
        <f t="array" ref="M124">VLOOKUP($B124,NAS1352First[],COLUMN(NAS1352First[Key Engagement Min]),FALSE)</f>
        <v>0.307</v>
      </c>
      <c r="N124" s="8" cm="1">
        <f t="array" ref="N124">VLOOKUP($B124,NAS1352First[],COLUMN(NAS1352First[Wall Thickness Min]),FALSE)</f>
        <v>0.23799999999999999</v>
      </c>
      <c r="O124" s="8" cm="1">
        <f t="array" ref="O124">VLOOKUP($B124,NAS1352First[],COLUMN(NAS1352First[Chamfer or Radius Max]),FALSE)</f>
        <v>0.01</v>
      </c>
      <c r="P124" s="8" cm="1">
        <f t="array" ref="P124">VLOOKUP($B124,NAS1352First[],COLUMN(NAS1352First[Minimum Basic Thread Length]),FALSE)</f>
        <v>1.75</v>
      </c>
      <c r="Q124" s="8" cm="1">
        <f t="array" ref="Q124">VLOOKUP($B124,NAS1352First[],COLUMN(NAS1352First[Drilled Hole Location Max]),FALSE)</f>
        <v>0.19800000000000001</v>
      </c>
      <c r="R124" s="8" cm="1">
        <f t="array" ref="R124">VLOOKUP($B124,NAS1352First[],COLUMN(NAS1352First[Drilled Hole Location Min]),FALSE)</f>
        <v>0.17799999999999999</v>
      </c>
      <c r="S124" s="8" cm="1">
        <f t="array" ref="S124">VLOOKUP($B124,NAS1352First[],COLUMN(NAS1352First[Drilled Hole Diameter Max]),FALSE)</f>
        <v>6.7000000000000004E-2</v>
      </c>
      <c r="T124" s="8" cm="1">
        <f t="array" ref="T124">VLOOKUP($B124,NAS1352First[],COLUMN(NAS1352First[Drilled Hole Diameter Min]),FALSE)</f>
        <v>6.0999999999999999E-2</v>
      </c>
      <c r="U124" s="8" cm="1">
        <f t="array" ref="U124">VLOOKUP($B124,NAS1352First[],COLUMN(NAS1352First[Alloy Steel Minimum Breaking Strength (lb)]),FALSE)</f>
        <v>38400</v>
      </c>
      <c r="V124" s="8" cm="1">
        <f t="array" ref="V124">VLOOKUP($B124,NAS1352First[],COLUMN(NAS1352First[Corrosion Resistant Steel Minimum Breaking Strength (lb)]),FALSE)</f>
        <v>18100</v>
      </c>
      <c r="W124" s="17" cm="1">
        <f t="array" ref="W124">VLOOKUP($B124,NAS1352First[],COLUMN(NAS1352First[Heat Resistant Steel Minimum Breaking Strength (lb)]),FALSE)</f>
        <v>36200</v>
      </c>
    </row>
    <row r="125" spans="1:23" x14ac:dyDescent="0.25">
      <c r="A125" s="15" t="s">
        <v>642</v>
      </c>
      <c r="B125" s="8" t="str">
        <f t="shared" si="4"/>
        <v>10</v>
      </c>
      <c r="C125" s="8">
        <f t="shared" si="5"/>
        <v>1.25</v>
      </c>
      <c r="D125" s="8" t="str" cm="1">
        <f t="array" ref="D125">VLOOKUP($B125,NAS1352First[],COLUMN(NAS1352First[Thread Size]),FALSE)</f>
        <v>5/8-11 UNC CLASS 3</v>
      </c>
      <c r="E125" s="8" cm="1">
        <f t="array" ref="E125">VLOOKUP($B125,NAS1352First[],COLUMN(NAS1352First[Body Diameter Max]),FALSE)</f>
        <v>0.625</v>
      </c>
      <c r="F125" s="8" cm="1">
        <f t="array" ref="F125">VLOOKUP($B125,NAS1352First[],COLUMN(NAS1352First[Body Diameter Max2]),FALSE)</f>
        <v>0.61629999999999996</v>
      </c>
      <c r="G125" s="8" cm="1">
        <f t="array" ref="G125">VLOOKUP($B125,NAS1352First[],COLUMN(NAS1352First[Head Diameter Max]),FALSE)</f>
        <v>0.93700000000000006</v>
      </c>
      <c r="H125" s="8" cm="1">
        <f t="array" ref="H125">VLOOKUP($B125,NAS1352First[],COLUMN(NAS1352First[Head Diameter Min]),FALSE)</f>
        <v>0.92100000000000004</v>
      </c>
      <c r="I125" s="8" cm="1">
        <f t="array" ref="I125">VLOOKUP($B125,NAS1352First[],COLUMN(NAS1352First[Head Height Max]),FALSE)</f>
        <v>0.625</v>
      </c>
      <c r="J125" s="8" cm="1">
        <f t="array" ref="J125">VLOOKUP($B125,NAS1352First[],COLUMN(NAS1352First[Head Height Min]),FALSE)</f>
        <v>0.61599999999999999</v>
      </c>
      <c r="K125" s="8" cm="1">
        <f t="array" ref="K125">VLOOKUP($B125,NAS1352First[],COLUMN(NAS1352First[Head Side Height Min]),FALSE)</f>
        <v>0.56200000000000006</v>
      </c>
      <c r="L125" s="8" cm="1">
        <f t="array" ref="L125">VLOOKUP($B125,NAS1352First[],COLUMN(NAS1352First[Nominal Socket Size]),FALSE)</f>
        <v>0.5</v>
      </c>
      <c r="M125" s="8" cm="1">
        <f t="array" ref="M125">VLOOKUP($B125,NAS1352First[],COLUMN(NAS1352First[Key Engagement Min]),FALSE)</f>
        <v>0.307</v>
      </c>
      <c r="N125" s="8" cm="1">
        <f t="array" ref="N125">VLOOKUP($B125,NAS1352First[],COLUMN(NAS1352First[Wall Thickness Min]),FALSE)</f>
        <v>0.23799999999999999</v>
      </c>
      <c r="O125" s="8" cm="1">
        <f t="array" ref="O125">VLOOKUP($B125,NAS1352First[],COLUMN(NAS1352First[Chamfer or Radius Max]),FALSE)</f>
        <v>0.01</v>
      </c>
      <c r="P125" s="8" cm="1">
        <f t="array" ref="P125">VLOOKUP($B125,NAS1352First[],COLUMN(NAS1352First[Minimum Basic Thread Length]),FALSE)</f>
        <v>1.75</v>
      </c>
      <c r="Q125" s="8" cm="1">
        <f t="array" ref="Q125">VLOOKUP($B125,NAS1352First[],COLUMN(NAS1352First[Drilled Hole Location Max]),FALSE)</f>
        <v>0.19800000000000001</v>
      </c>
      <c r="R125" s="8" cm="1">
        <f t="array" ref="R125">VLOOKUP($B125,NAS1352First[],COLUMN(NAS1352First[Drilled Hole Location Min]),FALSE)</f>
        <v>0.17799999999999999</v>
      </c>
      <c r="S125" s="8" cm="1">
        <f t="array" ref="S125">VLOOKUP($B125,NAS1352First[],COLUMN(NAS1352First[Drilled Hole Diameter Max]),FALSE)</f>
        <v>6.7000000000000004E-2</v>
      </c>
      <c r="T125" s="8" cm="1">
        <f t="array" ref="T125">VLOOKUP($B125,NAS1352First[],COLUMN(NAS1352First[Drilled Hole Diameter Min]),FALSE)</f>
        <v>6.0999999999999999E-2</v>
      </c>
      <c r="U125" s="8" cm="1">
        <f t="array" ref="U125">VLOOKUP($B125,NAS1352First[],COLUMN(NAS1352First[Alloy Steel Minimum Breaking Strength (lb)]),FALSE)</f>
        <v>38400</v>
      </c>
      <c r="V125" s="8" cm="1">
        <f t="array" ref="V125">VLOOKUP($B125,NAS1352First[],COLUMN(NAS1352First[Corrosion Resistant Steel Minimum Breaking Strength (lb)]),FALSE)</f>
        <v>18100</v>
      </c>
      <c r="W125" s="17" cm="1">
        <f t="array" ref="W125">VLOOKUP($B125,NAS1352First[],COLUMN(NAS1352First[Heat Resistant Steel Minimum Breaking Strength (lb)]),FALSE)</f>
        <v>36200</v>
      </c>
    </row>
    <row r="126" spans="1:23" x14ac:dyDescent="0.25">
      <c r="A126" s="15" t="s">
        <v>643</v>
      </c>
      <c r="B126" s="8" t="str">
        <f t="shared" si="4"/>
        <v>10</v>
      </c>
      <c r="C126" s="8">
        <f t="shared" si="5"/>
        <v>1.5</v>
      </c>
      <c r="D126" s="8" t="str" cm="1">
        <f t="array" ref="D126">VLOOKUP($B126,NAS1352First[],COLUMN(NAS1352First[Thread Size]),FALSE)</f>
        <v>5/8-11 UNC CLASS 3</v>
      </c>
      <c r="E126" s="8" cm="1">
        <f t="array" ref="E126">VLOOKUP($B126,NAS1352First[],COLUMN(NAS1352First[Body Diameter Max]),FALSE)</f>
        <v>0.625</v>
      </c>
      <c r="F126" s="8" cm="1">
        <f t="array" ref="F126">VLOOKUP($B126,NAS1352First[],COLUMN(NAS1352First[Body Diameter Max2]),FALSE)</f>
        <v>0.61629999999999996</v>
      </c>
      <c r="G126" s="8" cm="1">
        <f t="array" ref="G126">VLOOKUP($B126,NAS1352First[],COLUMN(NAS1352First[Head Diameter Max]),FALSE)</f>
        <v>0.93700000000000006</v>
      </c>
      <c r="H126" s="8" cm="1">
        <f t="array" ref="H126">VLOOKUP($B126,NAS1352First[],COLUMN(NAS1352First[Head Diameter Min]),FALSE)</f>
        <v>0.92100000000000004</v>
      </c>
      <c r="I126" s="8" cm="1">
        <f t="array" ref="I126">VLOOKUP($B126,NAS1352First[],COLUMN(NAS1352First[Head Height Max]),FALSE)</f>
        <v>0.625</v>
      </c>
      <c r="J126" s="8" cm="1">
        <f t="array" ref="J126">VLOOKUP($B126,NAS1352First[],COLUMN(NAS1352First[Head Height Min]),FALSE)</f>
        <v>0.61599999999999999</v>
      </c>
      <c r="K126" s="8" cm="1">
        <f t="array" ref="K126">VLOOKUP($B126,NAS1352First[],COLUMN(NAS1352First[Head Side Height Min]),FALSE)</f>
        <v>0.56200000000000006</v>
      </c>
      <c r="L126" s="8" cm="1">
        <f t="array" ref="L126">VLOOKUP($B126,NAS1352First[],COLUMN(NAS1352First[Nominal Socket Size]),FALSE)</f>
        <v>0.5</v>
      </c>
      <c r="M126" s="8" cm="1">
        <f t="array" ref="M126">VLOOKUP($B126,NAS1352First[],COLUMN(NAS1352First[Key Engagement Min]),FALSE)</f>
        <v>0.307</v>
      </c>
      <c r="N126" s="8" cm="1">
        <f t="array" ref="N126">VLOOKUP($B126,NAS1352First[],COLUMN(NAS1352First[Wall Thickness Min]),FALSE)</f>
        <v>0.23799999999999999</v>
      </c>
      <c r="O126" s="8" cm="1">
        <f t="array" ref="O126">VLOOKUP($B126,NAS1352First[],COLUMN(NAS1352First[Chamfer or Radius Max]),FALSE)</f>
        <v>0.01</v>
      </c>
      <c r="P126" s="8" cm="1">
        <f t="array" ref="P126">VLOOKUP($B126,NAS1352First[],COLUMN(NAS1352First[Minimum Basic Thread Length]),FALSE)</f>
        <v>1.75</v>
      </c>
      <c r="Q126" s="8" cm="1">
        <f t="array" ref="Q126">VLOOKUP($B126,NAS1352First[],COLUMN(NAS1352First[Drilled Hole Location Max]),FALSE)</f>
        <v>0.19800000000000001</v>
      </c>
      <c r="R126" s="8" cm="1">
        <f t="array" ref="R126">VLOOKUP($B126,NAS1352First[],COLUMN(NAS1352First[Drilled Hole Location Min]),FALSE)</f>
        <v>0.17799999999999999</v>
      </c>
      <c r="S126" s="8" cm="1">
        <f t="array" ref="S126">VLOOKUP($B126,NAS1352First[],COLUMN(NAS1352First[Drilled Hole Diameter Max]),FALSE)</f>
        <v>6.7000000000000004E-2</v>
      </c>
      <c r="T126" s="8" cm="1">
        <f t="array" ref="T126">VLOOKUP($B126,NAS1352First[],COLUMN(NAS1352First[Drilled Hole Diameter Min]),FALSE)</f>
        <v>6.0999999999999999E-2</v>
      </c>
      <c r="U126" s="8" cm="1">
        <f t="array" ref="U126">VLOOKUP($B126,NAS1352First[],COLUMN(NAS1352First[Alloy Steel Minimum Breaking Strength (lb)]),FALSE)</f>
        <v>38400</v>
      </c>
      <c r="V126" s="8" cm="1">
        <f t="array" ref="V126">VLOOKUP($B126,NAS1352First[],COLUMN(NAS1352First[Corrosion Resistant Steel Minimum Breaking Strength (lb)]),FALSE)</f>
        <v>18100</v>
      </c>
      <c r="W126" s="17" cm="1">
        <f t="array" ref="W126">VLOOKUP($B126,NAS1352First[],COLUMN(NAS1352First[Heat Resistant Steel Minimum Breaking Strength (lb)]),FALSE)</f>
        <v>36200</v>
      </c>
    </row>
    <row r="127" spans="1:23" x14ac:dyDescent="0.25">
      <c r="A127" s="15" t="s">
        <v>644</v>
      </c>
      <c r="B127" s="8" t="str">
        <f t="shared" si="4"/>
        <v>10</v>
      </c>
      <c r="C127" s="8">
        <f t="shared" si="5"/>
        <v>1.75</v>
      </c>
      <c r="D127" s="8" t="str" cm="1">
        <f t="array" ref="D127">VLOOKUP($B127,NAS1352First[],COLUMN(NAS1352First[Thread Size]),FALSE)</f>
        <v>5/8-11 UNC CLASS 3</v>
      </c>
      <c r="E127" s="8" cm="1">
        <f t="array" ref="E127">VLOOKUP($B127,NAS1352First[],COLUMN(NAS1352First[Body Diameter Max]),FALSE)</f>
        <v>0.625</v>
      </c>
      <c r="F127" s="8" cm="1">
        <f t="array" ref="F127">VLOOKUP($B127,NAS1352First[],COLUMN(NAS1352First[Body Diameter Max2]),FALSE)</f>
        <v>0.61629999999999996</v>
      </c>
      <c r="G127" s="8" cm="1">
        <f t="array" ref="G127">VLOOKUP($B127,NAS1352First[],COLUMN(NAS1352First[Head Diameter Max]),FALSE)</f>
        <v>0.93700000000000006</v>
      </c>
      <c r="H127" s="8" cm="1">
        <f t="array" ref="H127">VLOOKUP($B127,NAS1352First[],COLUMN(NAS1352First[Head Diameter Min]),FALSE)</f>
        <v>0.92100000000000004</v>
      </c>
      <c r="I127" s="8" cm="1">
        <f t="array" ref="I127">VLOOKUP($B127,NAS1352First[],COLUMN(NAS1352First[Head Height Max]),FALSE)</f>
        <v>0.625</v>
      </c>
      <c r="J127" s="8" cm="1">
        <f t="array" ref="J127">VLOOKUP($B127,NAS1352First[],COLUMN(NAS1352First[Head Height Min]),FALSE)</f>
        <v>0.61599999999999999</v>
      </c>
      <c r="K127" s="8" cm="1">
        <f t="array" ref="K127">VLOOKUP($B127,NAS1352First[],COLUMN(NAS1352First[Head Side Height Min]),FALSE)</f>
        <v>0.56200000000000006</v>
      </c>
      <c r="L127" s="8" cm="1">
        <f t="array" ref="L127">VLOOKUP($B127,NAS1352First[],COLUMN(NAS1352First[Nominal Socket Size]),FALSE)</f>
        <v>0.5</v>
      </c>
      <c r="M127" s="8" cm="1">
        <f t="array" ref="M127">VLOOKUP($B127,NAS1352First[],COLUMN(NAS1352First[Key Engagement Min]),FALSE)</f>
        <v>0.307</v>
      </c>
      <c r="N127" s="8" cm="1">
        <f t="array" ref="N127">VLOOKUP($B127,NAS1352First[],COLUMN(NAS1352First[Wall Thickness Min]),FALSE)</f>
        <v>0.23799999999999999</v>
      </c>
      <c r="O127" s="8" cm="1">
        <f t="array" ref="O127">VLOOKUP($B127,NAS1352First[],COLUMN(NAS1352First[Chamfer or Radius Max]),FALSE)</f>
        <v>0.01</v>
      </c>
      <c r="P127" s="8" cm="1">
        <f t="array" ref="P127">VLOOKUP($B127,NAS1352First[],COLUMN(NAS1352First[Minimum Basic Thread Length]),FALSE)</f>
        <v>1.75</v>
      </c>
      <c r="Q127" s="8" cm="1">
        <f t="array" ref="Q127">VLOOKUP($B127,NAS1352First[],COLUMN(NAS1352First[Drilled Hole Location Max]),FALSE)</f>
        <v>0.19800000000000001</v>
      </c>
      <c r="R127" s="8" cm="1">
        <f t="array" ref="R127">VLOOKUP($B127,NAS1352First[],COLUMN(NAS1352First[Drilled Hole Location Min]),FALSE)</f>
        <v>0.17799999999999999</v>
      </c>
      <c r="S127" s="8" cm="1">
        <f t="array" ref="S127">VLOOKUP($B127,NAS1352First[],COLUMN(NAS1352First[Drilled Hole Diameter Max]),FALSE)</f>
        <v>6.7000000000000004E-2</v>
      </c>
      <c r="T127" s="8" cm="1">
        <f t="array" ref="T127">VLOOKUP($B127,NAS1352First[],COLUMN(NAS1352First[Drilled Hole Diameter Min]),FALSE)</f>
        <v>6.0999999999999999E-2</v>
      </c>
      <c r="U127" s="8" cm="1">
        <f t="array" ref="U127">VLOOKUP($B127,NAS1352First[],COLUMN(NAS1352First[Alloy Steel Minimum Breaking Strength (lb)]),FALSE)</f>
        <v>38400</v>
      </c>
      <c r="V127" s="8" cm="1">
        <f t="array" ref="V127">VLOOKUP($B127,NAS1352First[],COLUMN(NAS1352First[Corrosion Resistant Steel Minimum Breaking Strength (lb)]),FALSE)</f>
        <v>18100</v>
      </c>
      <c r="W127" s="17" cm="1">
        <f t="array" ref="W127">VLOOKUP($B127,NAS1352First[],COLUMN(NAS1352First[Heat Resistant Steel Minimum Breaking Strength (lb)]),FALSE)</f>
        <v>36200</v>
      </c>
    </row>
    <row r="128" spans="1:23" x14ac:dyDescent="0.25">
      <c r="A128" s="15" t="s">
        <v>645</v>
      </c>
      <c r="B128" s="8" t="str">
        <f t="shared" si="4"/>
        <v>10</v>
      </c>
      <c r="C128" s="8">
        <f t="shared" si="5"/>
        <v>2</v>
      </c>
      <c r="D128" s="8" t="str" cm="1">
        <f t="array" ref="D128">VLOOKUP($B128,NAS1352First[],COLUMN(NAS1352First[Thread Size]),FALSE)</f>
        <v>5/8-11 UNC CLASS 3</v>
      </c>
      <c r="E128" s="8" cm="1">
        <f t="array" ref="E128">VLOOKUP($B128,NAS1352First[],COLUMN(NAS1352First[Body Diameter Max]),FALSE)</f>
        <v>0.625</v>
      </c>
      <c r="F128" s="8" cm="1">
        <f t="array" ref="F128">VLOOKUP($B128,NAS1352First[],COLUMN(NAS1352First[Body Diameter Max2]),FALSE)</f>
        <v>0.61629999999999996</v>
      </c>
      <c r="G128" s="8" cm="1">
        <f t="array" ref="G128">VLOOKUP($B128,NAS1352First[],COLUMN(NAS1352First[Head Diameter Max]),FALSE)</f>
        <v>0.93700000000000006</v>
      </c>
      <c r="H128" s="8" cm="1">
        <f t="array" ref="H128">VLOOKUP($B128,NAS1352First[],COLUMN(NAS1352First[Head Diameter Min]),FALSE)</f>
        <v>0.92100000000000004</v>
      </c>
      <c r="I128" s="8" cm="1">
        <f t="array" ref="I128">VLOOKUP($B128,NAS1352First[],COLUMN(NAS1352First[Head Height Max]),FALSE)</f>
        <v>0.625</v>
      </c>
      <c r="J128" s="8" cm="1">
        <f t="array" ref="J128">VLOOKUP($B128,NAS1352First[],COLUMN(NAS1352First[Head Height Min]),FALSE)</f>
        <v>0.61599999999999999</v>
      </c>
      <c r="K128" s="8" cm="1">
        <f t="array" ref="K128">VLOOKUP($B128,NAS1352First[],COLUMN(NAS1352First[Head Side Height Min]),FALSE)</f>
        <v>0.56200000000000006</v>
      </c>
      <c r="L128" s="8" cm="1">
        <f t="array" ref="L128">VLOOKUP($B128,NAS1352First[],COLUMN(NAS1352First[Nominal Socket Size]),FALSE)</f>
        <v>0.5</v>
      </c>
      <c r="M128" s="8" cm="1">
        <f t="array" ref="M128">VLOOKUP($B128,NAS1352First[],COLUMN(NAS1352First[Key Engagement Min]),FALSE)</f>
        <v>0.307</v>
      </c>
      <c r="N128" s="8" cm="1">
        <f t="array" ref="N128">VLOOKUP($B128,NAS1352First[],COLUMN(NAS1352First[Wall Thickness Min]),FALSE)</f>
        <v>0.23799999999999999</v>
      </c>
      <c r="O128" s="8" cm="1">
        <f t="array" ref="O128">VLOOKUP($B128,NAS1352First[],COLUMN(NAS1352First[Chamfer or Radius Max]),FALSE)</f>
        <v>0.01</v>
      </c>
      <c r="P128" s="8" cm="1">
        <f t="array" ref="P128">VLOOKUP($B128,NAS1352First[],COLUMN(NAS1352First[Minimum Basic Thread Length]),FALSE)</f>
        <v>1.75</v>
      </c>
      <c r="Q128" s="8" cm="1">
        <f t="array" ref="Q128">VLOOKUP($B128,NAS1352First[],COLUMN(NAS1352First[Drilled Hole Location Max]),FALSE)</f>
        <v>0.19800000000000001</v>
      </c>
      <c r="R128" s="8" cm="1">
        <f t="array" ref="R128">VLOOKUP($B128,NAS1352First[],COLUMN(NAS1352First[Drilled Hole Location Min]),FALSE)</f>
        <v>0.17799999999999999</v>
      </c>
      <c r="S128" s="8" cm="1">
        <f t="array" ref="S128">VLOOKUP($B128,NAS1352First[],COLUMN(NAS1352First[Drilled Hole Diameter Max]),FALSE)</f>
        <v>6.7000000000000004E-2</v>
      </c>
      <c r="T128" s="8" cm="1">
        <f t="array" ref="T128">VLOOKUP($B128,NAS1352First[],COLUMN(NAS1352First[Drilled Hole Diameter Min]),FALSE)</f>
        <v>6.0999999999999999E-2</v>
      </c>
      <c r="U128" s="8" cm="1">
        <f t="array" ref="U128">VLOOKUP($B128,NAS1352First[],COLUMN(NAS1352First[Alloy Steel Minimum Breaking Strength (lb)]),FALSE)</f>
        <v>38400</v>
      </c>
      <c r="V128" s="8" cm="1">
        <f t="array" ref="V128">VLOOKUP($B128,NAS1352First[],COLUMN(NAS1352First[Corrosion Resistant Steel Minimum Breaking Strength (lb)]),FALSE)</f>
        <v>18100</v>
      </c>
      <c r="W128" s="17" cm="1">
        <f t="array" ref="W128">VLOOKUP($B128,NAS1352First[],COLUMN(NAS1352First[Heat Resistant Steel Minimum Breaking Strength (lb)]),FALSE)</f>
        <v>36200</v>
      </c>
    </row>
    <row r="129" spans="1:23" x14ac:dyDescent="0.25">
      <c r="A129" s="15" t="s">
        <v>646</v>
      </c>
      <c r="B129" s="8" t="str">
        <f t="shared" si="4"/>
        <v>10</v>
      </c>
      <c r="C129" s="8">
        <f t="shared" si="5"/>
        <v>2.25</v>
      </c>
      <c r="D129" s="8" t="str" cm="1">
        <f t="array" ref="D129">VLOOKUP($B129,NAS1352First[],COLUMN(NAS1352First[Thread Size]),FALSE)</f>
        <v>5/8-11 UNC CLASS 3</v>
      </c>
      <c r="E129" s="8" cm="1">
        <f t="array" ref="E129">VLOOKUP($B129,NAS1352First[],COLUMN(NAS1352First[Body Diameter Max]),FALSE)</f>
        <v>0.625</v>
      </c>
      <c r="F129" s="8" cm="1">
        <f t="array" ref="F129">VLOOKUP($B129,NAS1352First[],COLUMN(NAS1352First[Body Diameter Max2]),FALSE)</f>
        <v>0.61629999999999996</v>
      </c>
      <c r="G129" s="8" cm="1">
        <f t="array" ref="G129">VLOOKUP($B129,NAS1352First[],COLUMN(NAS1352First[Head Diameter Max]),FALSE)</f>
        <v>0.93700000000000006</v>
      </c>
      <c r="H129" s="8" cm="1">
        <f t="array" ref="H129">VLOOKUP($B129,NAS1352First[],COLUMN(NAS1352First[Head Diameter Min]),FALSE)</f>
        <v>0.92100000000000004</v>
      </c>
      <c r="I129" s="8" cm="1">
        <f t="array" ref="I129">VLOOKUP($B129,NAS1352First[],COLUMN(NAS1352First[Head Height Max]),FALSE)</f>
        <v>0.625</v>
      </c>
      <c r="J129" s="8" cm="1">
        <f t="array" ref="J129">VLOOKUP($B129,NAS1352First[],COLUMN(NAS1352First[Head Height Min]),FALSE)</f>
        <v>0.61599999999999999</v>
      </c>
      <c r="K129" s="8" cm="1">
        <f t="array" ref="K129">VLOOKUP($B129,NAS1352First[],COLUMN(NAS1352First[Head Side Height Min]),FALSE)</f>
        <v>0.56200000000000006</v>
      </c>
      <c r="L129" s="8" cm="1">
        <f t="array" ref="L129">VLOOKUP($B129,NAS1352First[],COLUMN(NAS1352First[Nominal Socket Size]),FALSE)</f>
        <v>0.5</v>
      </c>
      <c r="M129" s="8" cm="1">
        <f t="array" ref="M129">VLOOKUP($B129,NAS1352First[],COLUMN(NAS1352First[Key Engagement Min]),FALSE)</f>
        <v>0.307</v>
      </c>
      <c r="N129" s="8" cm="1">
        <f t="array" ref="N129">VLOOKUP($B129,NAS1352First[],COLUMN(NAS1352First[Wall Thickness Min]),FALSE)</f>
        <v>0.23799999999999999</v>
      </c>
      <c r="O129" s="8" cm="1">
        <f t="array" ref="O129">VLOOKUP($B129,NAS1352First[],COLUMN(NAS1352First[Chamfer or Radius Max]),FALSE)</f>
        <v>0.01</v>
      </c>
      <c r="P129" s="8" cm="1">
        <f t="array" ref="P129">VLOOKUP($B129,NAS1352First[],COLUMN(NAS1352First[Minimum Basic Thread Length]),FALSE)</f>
        <v>1.75</v>
      </c>
      <c r="Q129" s="8" cm="1">
        <f t="array" ref="Q129">VLOOKUP($B129,NAS1352First[],COLUMN(NAS1352First[Drilled Hole Location Max]),FALSE)</f>
        <v>0.19800000000000001</v>
      </c>
      <c r="R129" s="8" cm="1">
        <f t="array" ref="R129">VLOOKUP($B129,NAS1352First[],COLUMN(NAS1352First[Drilled Hole Location Min]),FALSE)</f>
        <v>0.17799999999999999</v>
      </c>
      <c r="S129" s="8" cm="1">
        <f t="array" ref="S129">VLOOKUP($B129,NAS1352First[],COLUMN(NAS1352First[Drilled Hole Diameter Max]),FALSE)</f>
        <v>6.7000000000000004E-2</v>
      </c>
      <c r="T129" s="8" cm="1">
        <f t="array" ref="T129">VLOOKUP($B129,NAS1352First[],COLUMN(NAS1352First[Drilled Hole Diameter Min]),FALSE)</f>
        <v>6.0999999999999999E-2</v>
      </c>
      <c r="U129" s="8" cm="1">
        <f t="array" ref="U129">VLOOKUP($B129,NAS1352First[],COLUMN(NAS1352First[Alloy Steel Minimum Breaking Strength (lb)]),FALSE)</f>
        <v>38400</v>
      </c>
      <c r="V129" s="8" cm="1">
        <f t="array" ref="V129">VLOOKUP($B129,NAS1352First[],COLUMN(NAS1352First[Corrosion Resistant Steel Minimum Breaking Strength (lb)]),FALSE)</f>
        <v>18100</v>
      </c>
      <c r="W129" s="17" cm="1">
        <f t="array" ref="W129">VLOOKUP($B129,NAS1352First[],COLUMN(NAS1352First[Heat Resistant Steel Minimum Breaking Strength (lb)]),FALSE)</f>
        <v>36200</v>
      </c>
    </row>
    <row r="130" spans="1:23" x14ac:dyDescent="0.25">
      <c r="A130" s="15" t="s">
        <v>647</v>
      </c>
      <c r="B130" s="8" t="str">
        <f t="shared" si="4"/>
        <v>10</v>
      </c>
      <c r="C130" s="8">
        <f t="shared" si="5"/>
        <v>2.5</v>
      </c>
      <c r="D130" s="8" t="str" cm="1">
        <f t="array" ref="D130">VLOOKUP($B130,NAS1352First[],COLUMN(NAS1352First[Thread Size]),FALSE)</f>
        <v>5/8-11 UNC CLASS 3</v>
      </c>
      <c r="E130" s="8" cm="1">
        <f t="array" ref="E130">VLOOKUP($B130,NAS1352First[],COLUMN(NAS1352First[Body Diameter Max]),FALSE)</f>
        <v>0.625</v>
      </c>
      <c r="F130" s="8" cm="1">
        <f t="array" ref="F130">VLOOKUP($B130,NAS1352First[],COLUMN(NAS1352First[Body Diameter Max2]),FALSE)</f>
        <v>0.61629999999999996</v>
      </c>
      <c r="G130" s="8" cm="1">
        <f t="array" ref="G130">VLOOKUP($B130,NAS1352First[],COLUMN(NAS1352First[Head Diameter Max]),FALSE)</f>
        <v>0.93700000000000006</v>
      </c>
      <c r="H130" s="8" cm="1">
        <f t="array" ref="H130">VLOOKUP($B130,NAS1352First[],COLUMN(NAS1352First[Head Diameter Min]),FALSE)</f>
        <v>0.92100000000000004</v>
      </c>
      <c r="I130" s="8" cm="1">
        <f t="array" ref="I130">VLOOKUP($B130,NAS1352First[],COLUMN(NAS1352First[Head Height Max]),FALSE)</f>
        <v>0.625</v>
      </c>
      <c r="J130" s="8" cm="1">
        <f t="array" ref="J130">VLOOKUP($B130,NAS1352First[],COLUMN(NAS1352First[Head Height Min]),FALSE)</f>
        <v>0.61599999999999999</v>
      </c>
      <c r="K130" s="8" cm="1">
        <f t="array" ref="K130">VLOOKUP($B130,NAS1352First[],COLUMN(NAS1352First[Head Side Height Min]),FALSE)</f>
        <v>0.56200000000000006</v>
      </c>
      <c r="L130" s="8" cm="1">
        <f t="array" ref="L130">VLOOKUP($B130,NAS1352First[],COLUMN(NAS1352First[Nominal Socket Size]),FALSE)</f>
        <v>0.5</v>
      </c>
      <c r="M130" s="8" cm="1">
        <f t="array" ref="M130">VLOOKUP($B130,NAS1352First[],COLUMN(NAS1352First[Key Engagement Min]),FALSE)</f>
        <v>0.307</v>
      </c>
      <c r="N130" s="8" cm="1">
        <f t="array" ref="N130">VLOOKUP($B130,NAS1352First[],COLUMN(NAS1352First[Wall Thickness Min]),FALSE)</f>
        <v>0.23799999999999999</v>
      </c>
      <c r="O130" s="8" cm="1">
        <f t="array" ref="O130">VLOOKUP($B130,NAS1352First[],COLUMN(NAS1352First[Chamfer or Radius Max]),FALSE)</f>
        <v>0.01</v>
      </c>
      <c r="P130" s="8" cm="1">
        <f t="array" ref="P130">VLOOKUP($B130,NAS1352First[],COLUMN(NAS1352First[Minimum Basic Thread Length]),FALSE)</f>
        <v>1.75</v>
      </c>
      <c r="Q130" s="8" cm="1">
        <f t="array" ref="Q130">VLOOKUP($B130,NAS1352First[],COLUMN(NAS1352First[Drilled Hole Location Max]),FALSE)</f>
        <v>0.19800000000000001</v>
      </c>
      <c r="R130" s="8" cm="1">
        <f t="array" ref="R130">VLOOKUP($B130,NAS1352First[],COLUMN(NAS1352First[Drilled Hole Location Min]),FALSE)</f>
        <v>0.17799999999999999</v>
      </c>
      <c r="S130" s="8" cm="1">
        <f t="array" ref="S130">VLOOKUP($B130,NAS1352First[],COLUMN(NAS1352First[Drilled Hole Diameter Max]),FALSE)</f>
        <v>6.7000000000000004E-2</v>
      </c>
      <c r="T130" s="8" cm="1">
        <f t="array" ref="T130">VLOOKUP($B130,NAS1352First[],COLUMN(NAS1352First[Drilled Hole Diameter Min]),FALSE)</f>
        <v>6.0999999999999999E-2</v>
      </c>
      <c r="U130" s="8" cm="1">
        <f t="array" ref="U130">VLOOKUP($B130,NAS1352First[],COLUMN(NAS1352First[Alloy Steel Minimum Breaking Strength (lb)]),FALSE)</f>
        <v>38400</v>
      </c>
      <c r="V130" s="8" cm="1">
        <f t="array" ref="V130">VLOOKUP($B130,NAS1352First[],COLUMN(NAS1352First[Corrosion Resistant Steel Minimum Breaking Strength (lb)]),FALSE)</f>
        <v>18100</v>
      </c>
      <c r="W130" s="17" cm="1">
        <f t="array" ref="W130">VLOOKUP($B130,NAS1352First[],COLUMN(NAS1352First[Heat Resistant Steel Minimum Breaking Strength (lb)]),FALSE)</f>
        <v>36200</v>
      </c>
    </row>
    <row r="131" spans="1:23" x14ac:dyDescent="0.25">
      <c r="A131" s="15" t="s">
        <v>648</v>
      </c>
      <c r="B131" s="8" t="str">
        <f t="shared" si="4"/>
        <v>10</v>
      </c>
      <c r="C131" s="8">
        <f t="shared" si="5"/>
        <v>2.75</v>
      </c>
      <c r="D131" s="8" t="str" cm="1">
        <f t="array" ref="D131">VLOOKUP($B131,NAS1352First[],COLUMN(NAS1352First[Thread Size]),FALSE)</f>
        <v>5/8-11 UNC CLASS 3</v>
      </c>
      <c r="E131" s="8" cm="1">
        <f t="array" ref="E131">VLOOKUP($B131,NAS1352First[],COLUMN(NAS1352First[Body Diameter Max]),FALSE)</f>
        <v>0.625</v>
      </c>
      <c r="F131" s="8" cm="1">
        <f t="array" ref="F131">VLOOKUP($B131,NAS1352First[],COLUMN(NAS1352First[Body Diameter Max2]),FALSE)</f>
        <v>0.61629999999999996</v>
      </c>
      <c r="G131" s="8" cm="1">
        <f t="array" ref="G131">VLOOKUP($B131,NAS1352First[],COLUMN(NAS1352First[Head Diameter Max]),FALSE)</f>
        <v>0.93700000000000006</v>
      </c>
      <c r="H131" s="8" cm="1">
        <f t="array" ref="H131">VLOOKUP($B131,NAS1352First[],COLUMN(NAS1352First[Head Diameter Min]),FALSE)</f>
        <v>0.92100000000000004</v>
      </c>
      <c r="I131" s="8" cm="1">
        <f t="array" ref="I131">VLOOKUP($B131,NAS1352First[],COLUMN(NAS1352First[Head Height Max]),FALSE)</f>
        <v>0.625</v>
      </c>
      <c r="J131" s="8" cm="1">
        <f t="array" ref="J131">VLOOKUP($B131,NAS1352First[],COLUMN(NAS1352First[Head Height Min]),FALSE)</f>
        <v>0.61599999999999999</v>
      </c>
      <c r="K131" s="8" cm="1">
        <f t="array" ref="K131">VLOOKUP($B131,NAS1352First[],COLUMN(NAS1352First[Head Side Height Min]),FALSE)</f>
        <v>0.56200000000000006</v>
      </c>
      <c r="L131" s="8" cm="1">
        <f t="array" ref="L131">VLOOKUP($B131,NAS1352First[],COLUMN(NAS1352First[Nominal Socket Size]),FALSE)</f>
        <v>0.5</v>
      </c>
      <c r="M131" s="8" cm="1">
        <f t="array" ref="M131">VLOOKUP($B131,NAS1352First[],COLUMN(NAS1352First[Key Engagement Min]),FALSE)</f>
        <v>0.307</v>
      </c>
      <c r="N131" s="8" cm="1">
        <f t="array" ref="N131">VLOOKUP($B131,NAS1352First[],COLUMN(NAS1352First[Wall Thickness Min]),FALSE)</f>
        <v>0.23799999999999999</v>
      </c>
      <c r="O131" s="8" cm="1">
        <f t="array" ref="O131">VLOOKUP($B131,NAS1352First[],COLUMN(NAS1352First[Chamfer or Radius Max]),FALSE)</f>
        <v>0.01</v>
      </c>
      <c r="P131" s="8" cm="1">
        <f t="array" ref="P131">VLOOKUP($B131,NAS1352First[],COLUMN(NAS1352First[Minimum Basic Thread Length]),FALSE)</f>
        <v>1.75</v>
      </c>
      <c r="Q131" s="8" cm="1">
        <f t="array" ref="Q131">VLOOKUP($B131,NAS1352First[],COLUMN(NAS1352First[Drilled Hole Location Max]),FALSE)</f>
        <v>0.19800000000000001</v>
      </c>
      <c r="R131" s="8" cm="1">
        <f t="array" ref="R131">VLOOKUP($B131,NAS1352First[],COLUMN(NAS1352First[Drilled Hole Location Min]),FALSE)</f>
        <v>0.17799999999999999</v>
      </c>
      <c r="S131" s="8" cm="1">
        <f t="array" ref="S131">VLOOKUP($B131,NAS1352First[],COLUMN(NAS1352First[Drilled Hole Diameter Max]),FALSE)</f>
        <v>6.7000000000000004E-2</v>
      </c>
      <c r="T131" s="8" cm="1">
        <f t="array" ref="T131">VLOOKUP($B131,NAS1352First[],COLUMN(NAS1352First[Drilled Hole Diameter Min]),FALSE)</f>
        <v>6.0999999999999999E-2</v>
      </c>
      <c r="U131" s="8" cm="1">
        <f t="array" ref="U131">VLOOKUP($B131,NAS1352First[],COLUMN(NAS1352First[Alloy Steel Minimum Breaking Strength (lb)]),FALSE)</f>
        <v>38400</v>
      </c>
      <c r="V131" s="8" cm="1">
        <f t="array" ref="V131">VLOOKUP($B131,NAS1352First[],COLUMN(NAS1352First[Corrosion Resistant Steel Minimum Breaking Strength (lb)]),FALSE)</f>
        <v>18100</v>
      </c>
      <c r="W131" s="17" cm="1">
        <f t="array" ref="W131">VLOOKUP($B131,NAS1352First[],COLUMN(NAS1352First[Heat Resistant Steel Minimum Breaking Strength (lb)]),FALSE)</f>
        <v>36200</v>
      </c>
    </row>
    <row r="132" spans="1:23" x14ac:dyDescent="0.25">
      <c r="A132" s="15" t="s">
        <v>649</v>
      </c>
      <c r="B132" s="8" t="str">
        <f t="shared" si="4"/>
        <v>10</v>
      </c>
      <c r="C132" s="8">
        <f t="shared" si="5"/>
        <v>3</v>
      </c>
      <c r="D132" s="8" t="str" cm="1">
        <f t="array" ref="D132">VLOOKUP($B132,NAS1352First[],COLUMN(NAS1352First[Thread Size]),FALSE)</f>
        <v>5/8-11 UNC CLASS 3</v>
      </c>
      <c r="E132" s="8" cm="1">
        <f t="array" ref="E132">VLOOKUP($B132,NAS1352First[],COLUMN(NAS1352First[Body Diameter Max]),FALSE)</f>
        <v>0.625</v>
      </c>
      <c r="F132" s="8" cm="1">
        <f t="array" ref="F132">VLOOKUP($B132,NAS1352First[],COLUMN(NAS1352First[Body Diameter Max2]),FALSE)</f>
        <v>0.61629999999999996</v>
      </c>
      <c r="G132" s="8" cm="1">
        <f t="array" ref="G132">VLOOKUP($B132,NAS1352First[],COLUMN(NAS1352First[Head Diameter Max]),FALSE)</f>
        <v>0.93700000000000006</v>
      </c>
      <c r="H132" s="8" cm="1">
        <f t="array" ref="H132">VLOOKUP($B132,NAS1352First[],COLUMN(NAS1352First[Head Diameter Min]),FALSE)</f>
        <v>0.92100000000000004</v>
      </c>
      <c r="I132" s="8" cm="1">
        <f t="array" ref="I132">VLOOKUP($B132,NAS1352First[],COLUMN(NAS1352First[Head Height Max]),FALSE)</f>
        <v>0.625</v>
      </c>
      <c r="J132" s="8" cm="1">
        <f t="array" ref="J132">VLOOKUP($B132,NAS1352First[],COLUMN(NAS1352First[Head Height Min]),FALSE)</f>
        <v>0.61599999999999999</v>
      </c>
      <c r="K132" s="8" cm="1">
        <f t="array" ref="K132">VLOOKUP($B132,NAS1352First[],COLUMN(NAS1352First[Head Side Height Min]),FALSE)</f>
        <v>0.56200000000000006</v>
      </c>
      <c r="L132" s="8" cm="1">
        <f t="array" ref="L132">VLOOKUP($B132,NAS1352First[],COLUMN(NAS1352First[Nominal Socket Size]),FALSE)</f>
        <v>0.5</v>
      </c>
      <c r="M132" s="8" cm="1">
        <f t="array" ref="M132">VLOOKUP($B132,NAS1352First[],COLUMN(NAS1352First[Key Engagement Min]),FALSE)</f>
        <v>0.307</v>
      </c>
      <c r="N132" s="8" cm="1">
        <f t="array" ref="N132">VLOOKUP($B132,NAS1352First[],COLUMN(NAS1352First[Wall Thickness Min]),FALSE)</f>
        <v>0.23799999999999999</v>
      </c>
      <c r="O132" s="8" cm="1">
        <f t="array" ref="O132">VLOOKUP($B132,NAS1352First[],COLUMN(NAS1352First[Chamfer or Radius Max]),FALSE)</f>
        <v>0.01</v>
      </c>
      <c r="P132" s="8" cm="1">
        <f t="array" ref="P132">VLOOKUP($B132,NAS1352First[],COLUMN(NAS1352First[Minimum Basic Thread Length]),FALSE)</f>
        <v>1.75</v>
      </c>
      <c r="Q132" s="8" cm="1">
        <f t="array" ref="Q132">VLOOKUP($B132,NAS1352First[],COLUMN(NAS1352First[Drilled Hole Location Max]),FALSE)</f>
        <v>0.19800000000000001</v>
      </c>
      <c r="R132" s="8" cm="1">
        <f t="array" ref="R132">VLOOKUP($B132,NAS1352First[],COLUMN(NAS1352First[Drilled Hole Location Min]),FALSE)</f>
        <v>0.17799999999999999</v>
      </c>
      <c r="S132" s="8" cm="1">
        <f t="array" ref="S132">VLOOKUP($B132,NAS1352First[],COLUMN(NAS1352First[Drilled Hole Diameter Max]),FALSE)</f>
        <v>6.7000000000000004E-2</v>
      </c>
      <c r="T132" s="8" cm="1">
        <f t="array" ref="T132">VLOOKUP($B132,NAS1352First[],COLUMN(NAS1352First[Drilled Hole Diameter Min]),FALSE)</f>
        <v>6.0999999999999999E-2</v>
      </c>
      <c r="U132" s="8" cm="1">
        <f t="array" ref="U132">VLOOKUP($B132,NAS1352First[],COLUMN(NAS1352First[Alloy Steel Minimum Breaking Strength (lb)]),FALSE)</f>
        <v>38400</v>
      </c>
      <c r="V132" s="8" cm="1">
        <f t="array" ref="V132">VLOOKUP($B132,NAS1352First[],COLUMN(NAS1352First[Corrosion Resistant Steel Minimum Breaking Strength (lb)]),FALSE)</f>
        <v>18100</v>
      </c>
      <c r="W132" s="17" cm="1">
        <f t="array" ref="W132">VLOOKUP($B132,NAS1352First[],COLUMN(NAS1352First[Heat Resistant Steel Minimum Breaking Strength (lb)]),FALSE)</f>
        <v>36200</v>
      </c>
    </row>
    <row r="133" spans="1:23" x14ac:dyDescent="0.25">
      <c r="A133" s="15" t="s">
        <v>650</v>
      </c>
      <c r="B133" s="8" t="str">
        <f t="shared" si="4"/>
        <v>12</v>
      </c>
      <c r="C133" s="8">
        <f t="shared" si="5"/>
        <v>1.5</v>
      </c>
      <c r="D133" s="8" t="str" cm="1">
        <f t="array" ref="D133">VLOOKUP($B133,NAS1352First[],COLUMN(NAS1352First[Thread Size]),FALSE)</f>
        <v>3/4-10 UNC CLASS 3</v>
      </c>
      <c r="E133" s="8" cm="1">
        <f t="array" ref="E133">VLOOKUP($B133,NAS1352First[],COLUMN(NAS1352First[Body Diameter Max]),FALSE)</f>
        <v>0.75</v>
      </c>
      <c r="F133" s="8" cm="1">
        <f t="array" ref="F133">VLOOKUP($B133,NAS1352First[],COLUMN(NAS1352First[Body Diameter Max2]),FALSE)</f>
        <v>0.74060000000000004</v>
      </c>
      <c r="G133" s="8" cm="1">
        <f t="array" ref="G133">VLOOKUP($B133,NAS1352First[],COLUMN(NAS1352First[Head Diameter Max]),FALSE)</f>
        <v>1.125</v>
      </c>
      <c r="H133" s="8" cm="1">
        <f t="array" ref="H133">VLOOKUP($B133,NAS1352First[],COLUMN(NAS1352First[Head Diameter Min]),FALSE)</f>
        <v>1.107</v>
      </c>
      <c r="I133" s="8" cm="1">
        <f t="array" ref="I133">VLOOKUP($B133,NAS1352First[],COLUMN(NAS1352First[Head Height Max]),FALSE)</f>
        <v>0.75</v>
      </c>
      <c r="J133" s="8" cm="1">
        <f t="array" ref="J133">VLOOKUP($B133,NAS1352First[],COLUMN(NAS1352First[Head Height Min]),FALSE)</f>
        <v>0.74</v>
      </c>
      <c r="K133" s="8" cm="1">
        <f t="array" ref="K133">VLOOKUP($B133,NAS1352First[],COLUMN(NAS1352First[Head Side Height Min]),FALSE)</f>
        <v>0.67500000000000004</v>
      </c>
      <c r="L133" s="8" cm="1">
        <f t="array" ref="L133">VLOOKUP($B133,NAS1352First[],COLUMN(NAS1352First[Nominal Socket Size]),FALSE)</f>
        <v>0.625</v>
      </c>
      <c r="M133" s="8" cm="1">
        <f t="array" ref="M133">VLOOKUP($B133,NAS1352First[],COLUMN(NAS1352First[Key Engagement Min]),FALSE)</f>
        <v>0.37</v>
      </c>
      <c r="N133" s="8" cm="1">
        <f t="array" ref="N133">VLOOKUP($B133,NAS1352First[],COLUMN(NAS1352First[Wall Thickness Min]),FALSE)</f>
        <v>0.28499999999999998</v>
      </c>
      <c r="O133" s="8" cm="1">
        <f t="array" ref="O133">VLOOKUP($B133,NAS1352First[],COLUMN(NAS1352First[Chamfer or Radius Max]),FALSE)</f>
        <v>0.01</v>
      </c>
      <c r="P133" s="8" cm="1">
        <f t="array" ref="P133">VLOOKUP($B133,NAS1352First[],COLUMN(NAS1352First[Minimum Basic Thread Length]),FALSE)</f>
        <v>2</v>
      </c>
      <c r="Q133" s="8" cm="1">
        <f t="array" ref="Q133">VLOOKUP($B133,NAS1352First[],COLUMN(NAS1352First[Drilled Hole Location Max]),FALSE)</f>
        <v>0.23499999999999999</v>
      </c>
      <c r="R133" s="8" cm="1">
        <f t="array" ref="R133">VLOOKUP($B133,NAS1352First[],COLUMN(NAS1352First[Drilled Hole Location Min]),FALSE)</f>
        <v>0.215</v>
      </c>
      <c r="S133" s="8" cm="1">
        <f t="array" ref="S133">VLOOKUP($B133,NAS1352First[],COLUMN(NAS1352First[Drilled Hole Diameter Max]),FALSE)</f>
        <v>9.7000000000000003E-2</v>
      </c>
      <c r="T133" s="8" cm="1">
        <f t="array" ref="T133">VLOOKUP($B133,NAS1352First[],COLUMN(NAS1352First[Drilled Hole Diameter Min]),FALSE)</f>
        <v>9.0999999999999998E-2</v>
      </c>
      <c r="U133" s="8" cm="1">
        <f t="array" ref="U133">VLOOKUP($B133,NAS1352First[],COLUMN(NAS1352First[Alloy Steel Minimum Breaking Strength (lb)]),FALSE)</f>
        <v>56800</v>
      </c>
      <c r="V133" s="8" cm="1">
        <f t="array" ref="V133">VLOOKUP($B133,NAS1352First[],COLUMN(NAS1352First[Corrosion Resistant Steel Minimum Breaking Strength (lb)]),FALSE)</f>
        <v>23400</v>
      </c>
      <c r="W133" s="17" cm="1">
        <f t="array" ref="W133">VLOOKUP($B133,NAS1352First[],COLUMN(NAS1352First[Heat Resistant Steel Minimum Breaking Strength (lb)]),FALSE)</f>
        <v>53500</v>
      </c>
    </row>
    <row r="134" spans="1:23" x14ac:dyDescent="0.25">
      <c r="A134" s="15" t="s">
        <v>651</v>
      </c>
      <c r="B134" s="8" t="str">
        <f t="shared" si="4"/>
        <v>12</v>
      </c>
      <c r="C134" s="8">
        <f t="shared" si="5"/>
        <v>1.75</v>
      </c>
      <c r="D134" s="8" t="str" cm="1">
        <f t="array" ref="D134">VLOOKUP($B134,NAS1352First[],COLUMN(NAS1352First[Thread Size]),FALSE)</f>
        <v>3/4-10 UNC CLASS 3</v>
      </c>
      <c r="E134" s="8" cm="1">
        <f t="array" ref="E134">VLOOKUP($B134,NAS1352First[],COLUMN(NAS1352First[Body Diameter Max]),FALSE)</f>
        <v>0.75</v>
      </c>
      <c r="F134" s="8" cm="1">
        <f t="array" ref="F134">VLOOKUP($B134,NAS1352First[],COLUMN(NAS1352First[Body Diameter Max2]),FALSE)</f>
        <v>0.74060000000000004</v>
      </c>
      <c r="G134" s="8" cm="1">
        <f t="array" ref="G134">VLOOKUP($B134,NAS1352First[],COLUMN(NAS1352First[Head Diameter Max]),FALSE)</f>
        <v>1.125</v>
      </c>
      <c r="H134" s="8" cm="1">
        <f t="array" ref="H134">VLOOKUP($B134,NAS1352First[],COLUMN(NAS1352First[Head Diameter Min]),FALSE)</f>
        <v>1.107</v>
      </c>
      <c r="I134" s="8" cm="1">
        <f t="array" ref="I134">VLOOKUP($B134,NAS1352First[],COLUMN(NAS1352First[Head Height Max]),FALSE)</f>
        <v>0.75</v>
      </c>
      <c r="J134" s="8" cm="1">
        <f t="array" ref="J134">VLOOKUP($B134,NAS1352First[],COLUMN(NAS1352First[Head Height Min]),FALSE)</f>
        <v>0.74</v>
      </c>
      <c r="K134" s="8" cm="1">
        <f t="array" ref="K134">VLOOKUP($B134,NAS1352First[],COLUMN(NAS1352First[Head Side Height Min]),FALSE)</f>
        <v>0.67500000000000004</v>
      </c>
      <c r="L134" s="8" cm="1">
        <f t="array" ref="L134">VLOOKUP($B134,NAS1352First[],COLUMN(NAS1352First[Nominal Socket Size]),FALSE)</f>
        <v>0.625</v>
      </c>
      <c r="M134" s="8" cm="1">
        <f t="array" ref="M134">VLOOKUP($B134,NAS1352First[],COLUMN(NAS1352First[Key Engagement Min]),FALSE)</f>
        <v>0.37</v>
      </c>
      <c r="N134" s="8" cm="1">
        <f t="array" ref="N134">VLOOKUP($B134,NAS1352First[],COLUMN(NAS1352First[Wall Thickness Min]),FALSE)</f>
        <v>0.28499999999999998</v>
      </c>
      <c r="O134" s="8" cm="1">
        <f t="array" ref="O134">VLOOKUP($B134,NAS1352First[],COLUMN(NAS1352First[Chamfer or Radius Max]),FALSE)</f>
        <v>0.01</v>
      </c>
      <c r="P134" s="8" cm="1">
        <f t="array" ref="P134">VLOOKUP($B134,NAS1352First[],COLUMN(NAS1352First[Minimum Basic Thread Length]),FALSE)</f>
        <v>2</v>
      </c>
      <c r="Q134" s="8" cm="1">
        <f t="array" ref="Q134">VLOOKUP($B134,NAS1352First[],COLUMN(NAS1352First[Drilled Hole Location Max]),FALSE)</f>
        <v>0.23499999999999999</v>
      </c>
      <c r="R134" s="8" cm="1">
        <f t="array" ref="R134">VLOOKUP($B134,NAS1352First[],COLUMN(NAS1352First[Drilled Hole Location Min]),FALSE)</f>
        <v>0.215</v>
      </c>
      <c r="S134" s="8" cm="1">
        <f t="array" ref="S134">VLOOKUP($B134,NAS1352First[],COLUMN(NAS1352First[Drilled Hole Diameter Max]),FALSE)</f>
        <v>9.7000000000000003E-2</v>
      </c>
      <c r="T134" s="8" cm="1">
        <f t="array" ref="T134">VLOOKUP($B134,NAS1352First[],COLUMN(NAS1352First[Drilled Hole Diameter Min]),FALSE)</f>
        <v>9.0999999999999998E-2</v>
      </c>
      <c r="U134" s="8" cm="1">
        <f t="array" ref="U134">VLOOKUP($B134,NAS1352First[],COLUMN(NAS1352First[Alloy Steel Minimum Breaking Strength (lb)]),FALSE)</f>
        <v>56800</v>
      </c>
      <c r="V134" s="8" cm="1">
        <f t="array" ref="V134">VLOOKUP($B134,NAS1352First[],COLUMN(NAS1352First[Corrosion Resistant Steel Minimum Breaking Strength (lb)]),FALSE)</f>
        <v>23400</v>
      </c>
      <c r="W134" s="17" cm="1">
        <f t="array" ref="W134">VLOOKUP($B134,NAS1352First[],COLUMN(NAS1352First[Heat Resistant Steel Minimum Breaking Strength (lb)]),FALSE)</f>
        <v>53500</v>
      </c>
    </row>
    <row r="135" spans="1:23" x14ac:dyDescent="0.25">
      <c r="A135" s="15" t="s">
        <v>652</v>
      </c>
      <c r="B135" s="8" t="str">
        <f t="shared" si="4"/>
        <v>12</v>
      </c>
      <c r="C135" s="8">
        <f t="shared" si="5"/>
        <v>2</v>
      </c>
      <c r="D135" s="8" t="str" cm="1">
        <f t="array" ref="D135">VLOOKUP($B135,NAS1352First[],COLUMN(NAS1352First[Thread Size]),FALSE)</f>
        <v>3/4-10 UNC CLASS 3</v>
      </c>
      <c r="E135" s="8" cm="1">
        <f t="array" ref="E135">VLOOKUP($B135,NAS1352First[],COLUMN(NAS1352First[Body Diameter Max]),FALSE)</f>
        <v>0.75</v>
      </c>
      <c r="F135" s="8" cm="1">
        <f t="array" ref="F135">VLOOKUP($B135,NAS1352First[],COLUMN(NAS1352First[Body Diameter Max2]),FALSE)</f>
        <v>0.74060000000000004</v>
      </c>
      <c r="G135" s="8" cm="1">
        <f t="array" ref="G135">VLOOKUP($B135,NAS1352First[],COLUMN(NAS1352First[Head Diameter Max]),FALSE)</f>
        <v>1.125</v>
      </c>
      <c r="H135" s="8" cm="1">
        <f t="array" ref="H135">VLOOKUP($B135,NAS1352First[],COLUMN(NAS1352First[Head Diameter Min]),FALSE)</f>
        <v>1.107</v>
      </c>
      <c r="I135" s="8" cm="1">
        <f t="array" ref="I135">VLOOKUP($B135,NAS1352First[],COLUMN(NAS1352First[Head Height Max]),FALSE)</f>
        <v>0.75</v>
      </c>
      <c r="J135" s="8" cm="1">
        <f t="array" ref="J135">VLOOKUP($B135,NAS1352First[],COLUMN(NAS1352First[Head Height Min]),FALSE)</f>
        <v>0.74</v>
      </c>
      <c r="K135" s="8" cm="1">
        <f t="array" ref="K135">VLOOKUP($B135,NAS1352First[],COLUMN(NAS1352First[Head Side Height Min]),FALSE)</f>
        <v>0.67500000000000004</v>
      </c>
      <c r="L135" s="8" cm="1">
        <f t="array" ref="L135">VLOOKUP($B135,NAS1352First[],COLUMN(NAS1352First[Nominal Socket Size]),FALSE)</f>
        <v>0.625</v>
      </c>
      <c r="M135" s="8" cm="1">
        <f t="array" ref="M135">VLOOKUP($B135,NAS1352First[],COLUMN(NAS1352First[Key Engagement Min]),FALSE)</f>
        <v>0.37</v>
      </c>
      <c r="N135" s="8" cm="1">
        <f t="array" ref="N135">VLOOKUP($B135,NAS1352First[],COLUMN(NAS1352First[Wall Thickness Min]),FALSE)</f>
        <v>0.28499999999999998</v>
      </c>
      <c r="O135" s="8" cm="1">
        <f t="array" ref="O135">VLOOKUP($B135,NAS1352First[],COLUMN(NAS1352First[Chamfer or Radius Max]),FALSE)</f>
        <v>0.01</v>
      </c>
      <c r="P135" s="8" cm="1">
        <f t="array" ref="P135">VLOOKUP($B135,NAS1352First[],COLUMN(NAS1352First[Minimum Basic Thread Length]),FALSE)</f>
        <v>2</v>
      </c>
      <c r="Q135" s="8" cm="1">
        <f t="array" ref="Q135">VLOOKUP($B135,NAS1352First[],COLUMN(NAS1352First[Drilled Hole Location Max]),FALSE)</f>
        <v>0.23499999999999999</v>
      </c>
      <c r="R135" s="8" cm="1">
        <f t="array" ref="R135">VLOOKUP($B135,NAS1352First[],COLUMN(NAS1352First[Drilled Hole Location Min]),FALSE)</f>
        <v>0.215</v>
      </c>
      <c r="S135" s="8" cm="1">
        <f t="array" ref="S135">VLOOKUP($B135,NAS1352First[],COLUMN(NAS1352First[Drilled Hole Diameter Max]),FALSE)</f>
        <v>9.7000000000000003E-2</v>
      </c>
      <c r="T135" s="8" cm="1">
        <f t="array" ref="T135">VLOOKUP($B135,NAS1352First[],COLUMN(NAS1352First[Drilled Hole Diameter Min]),FALSE)</f>
        <v>9.0999999999999998E-2</v>
      </c>
      <c r="U135" s="8" cm="1">
        <f t="array" ref="U135">VLOOKUP($B135,NAS1352First[],COLUMN(NAS1352First[Alloy Steel Minimum Breaking Strength (lb)]),FALSE)</f>
        <v>56800</v>
      </c>
      <c r="V135" s="8" cm="1">
        <f t="array" ref="V135">VLOOKUP($B135,NAS1352First[],COLUMN(NAS1352First[Corrosion Resistant Steel Minimum Breaking Strength (lb)]),FALSE)</f>
        <v>23400</v>
      </c>
      <c r="W135" s="17" cm="1">
        <f t="array" ref="W135">VLOOKUP($B135,NAS1352First[],COLUMN(NAS1352First[Heat Resistant Steel Minimum Breaking Strength (lb)]),FALSE)</f>
        <v>53500</v>
      </c>
    </row>
    <row r="136" spans="1:23" x14ac:dyDescent="0.25">
      <c r="A136" s="15" t="s">
        <v>653</v>
      </c>
      <c r="B136" s="8" t="str">
        <f t="shared" si="4"/>
        <v>12</v>
      </c>
      <c r="C136" s="8">
        <f t="shared" si="5"/>
        <v>2.25</v>
      </c>
      <c r="D136" s="8" t="str" cm="1">
        <f t="array" ref="D136">VLOOKUP($B136,NAS1352First[],COLUMN(NAS1352First[Thread Size]),FALSE)</f>
        <v>3/4-10 UNC CLASS 3</v>
      </c>
      <c r="E136" s="8" cm="1">
        <f t="array" ref="E136">VLOOKUP($B136,NAS1352First[],COLUMN(NAS1352First[Body Diameter Max]),FALSE)</f>
        <v>0.75</v>
      </c>
      <c r="F136" s="8" cm="1">
        <f t="array" ref="F136">VLOOKUP($B136,NAS1352First[],COLUMN(NAS1352First[Body Diameter Max2]),FALSE)</f>
        <v>0.74060000000000004</v>
      </c>
      <c r="G136" s="8" cm="1">
        <f t="array" ref="G136">VLOOKUP($B136,NAS1352First[],COLUMN(NAS1352First[Head Diameter Max]),FALSE)</f>
        <v>1.125</v>
      </c>
      <c r="H136" s="8" cm="1">
        <f t="array" ref="H136">VLOOKUP($B136,NAS1352First[],COLUMN(NAS1352First[Head Diameter Min]),FALSE)</f>
        <v>1.107</v>
      </c>
      <c r="I136" s="8" cm="1">
        <f t="array" ref="I136">VLOOKUP($B136,NAS1352First[],COLUMN(NAS1352First[Head Height Max]),FALSE)</f>
        <v>0.75</v>
      </c>
      <c r="J136" s="8" cm="1">
        <f t="array" ref="J136">VLOOKUP($B136,NAS1352First[],COLUMN(NAS1352First[Head Height Min]),FALSE)</f>
        <v>0.74</v>
      </c>
      <c r="K136" s="8" cm="1">
        <f t="array" ref="K136">VLOOKUP($B136,NAS1352First[],COLUMN(NAS1352First[Head Side Height Min]),FALSE)</f>
        <v>0.67500000000000004</v>
      </c>
      <c r="L136" s="8" cm="1">
        <f t="array" ref="L136">VLOOKUP($B136,NAS1352First[],COLUMN(NAS1352First[Nominal Socket Size]),FALSE)</f>
        <v>0.625</v>
      </c>
      <c r="M136" s="8" cm="1">
        <f t="array" ref="M136">VLOOKUP($B136,NAS1352First[],COLUMN(NAS1352First[Key Engagement Min]),FALSE)</f>
        <v>0.37</v>
      </c>
      <c r="N136" s="8" cm="1">
        <f t="array" ref="N136">VLOOKUP($B136,NAS1352First[],COLUMN(NAS1352First[Wall Thickness Min]),FALSE)</f>
        <v>0.28499999999999998</v>
      </c>
      <c r="O136" s="8" cm="1">
        <f t="array" ref="O136">VLOOKUP($B136,NAS1352First[],COLUMN(NAS1352First[Chamfer or Radius Max]),FALSE)</f>
        <v>0.01</v>
      </c>
      <c r="P136" s="8" cm="1">
        <f t="array" ref="P136">VLOOKUP($B136,NAS1352First[],COLUMN(NAS1352First[Minimum Basic Thread Length]),FALSE)</f>
        <v>2</v>
      </c>
      <c r="Q136" s="8" cm="1">
        <f t="array" ref="Q136">VLOOKUP($B136,NAS1352First[],COLUMN(NAS1352First[Drilled Hole Location Max]),FALSE)</f>
        <v>0.23499999999999999</v>
      </c>
      <c r="R136" s="8" cm="1">
        <f t="array" ref="R136">VLOOKUP($B136,NAS1352First[],COLUMN(NAS1352First[Drilled Hole Location Min]),FALSE)</f>
        <v>0.215</v>
      </c>
      <c r="S136" s="8" cm="1">
        <f t="array" ref="S136">VLOOKUP($B136,NAS1352First[],COLUMN(NAS1352First[Drilled Hole Diameter Max]),FALSE)</f>
        <v>9.7000000000000003E-2</v>
      </c>
      <c r="T136" s="8" cm="1">
        <f t="array" ref="T136">VLOOKUP($B136,NAS1352First[],COLUMN(NAS1352First[Drilled Hole Diameter Min]),FALSE)</f>
        <v>9.0999999999999998E-2</v>
      </c>
      <c r="U136" s="8" cm="1">
        <f t="array" ref="U136">VLOOKUP($B136,NAS1352First[],COLUMN(NAS1352First[Alloy Steel Minimum Breaking Strength (lb)]),FALSE)</f>
        <v>56800</v>
      </c>
      <c r="V136" s="8" cm="1">
        <f t="array" ref="V136">VLOOKUP($B136,NAS1352First[],COLUMN(NAS1352First[Corrosion Resistant Steel Minimum Breaking Strength (lb)]),FALSE)</f>
        <v>23400</v>
      </c>
      <c r="W136" s="17" cm="1">
        <f t="array" ref="W136">VLOOKUP($B136,NAS1352First[],COLUMN(NAS1352First[Heat Resistant Steel Minimum Breaking Strength (lb)]),FALSE)</f>
        <v>53500</v>
      </c>
    </row>
    <row r="137" spans="1:23" x14ac:dyDescent="0.25">
      <c r="A137" s="15" t="s">
        <v>654</v>
      </c>
      <c r="B137" s="8" t="str">
        <f t="shared" si="4"/>
        <v>12</v>
      </c>
      <c r="C137" s="8">
        <f t="shared" si="5"/>
        <v>2.5</v>
      </c>
      <c r="D137" s="8" t="str" cm="1">
        <f t="array" ref="D137">VLOOKUP($B137,NAS1352First[],COLUMN(NAS1352First[Thread Size]),FALSE)</f>
        <v>3/4-10 UNC CLASS 3</v>
      </c>
      <c r="E137" s="8" cm="1">
        <f t="array" ref="E137">VLOOKUP($B137,NAS1352First[],COLUMN(NAS1352First[Body Diameter Max]),FALSE)</f>
        <v>0.75</v>
      </c>
      <c r="F137" s="8" cm="1">
        <f t="array" ref="F137">VLOOKUP($B137,NAS1352First[],COLUMN(NAS1352First[Body Diameter Max2]),FALSE)</f>
        <v>0.74060000000000004</v>
      </c>
      <c r="G137" s="8" cm="1">
        <f t="array" ref="G137">VLOOKUP($B137,NAS1352First[],COLUMN(NAS1352First[Head Diameter Max]),FALSE)</f>
        <v>1.125</v>
      </c>
      <c r="H137" s="8" cm="1">
        <f t="array" ref="H137">VLOOKUP($B137,NAS1352First[],COLUMN(NAS1352First[Head Diameter Min]),FALSE)</f>
        <v>1.107</v>
      </c>
      <c r="I137" s="8" cm="1">
        <f t="array" ref="I137">VLOOKUP($B137,NAS1352First[],COLUMN(NAS1352First[Head Height Max]),FALSE)</f>
        <v>0.75</v>
      </c>
      <c r="J137" s="8" cm="1">
        <f t="array" ref="J137">VLOOKUP($B137,NAS1352First[],COLUMN(NAS1352First[Head Height Min]),FALSE)</f>
        <v>0.74</v>
      </c>
      <c r="K137" s="8" cm="1">
        <f t="array" ref="K137">VLOOKUP($B137,NAS1352First[],COLUMN(NAS1352First[Head Side Height Min]),FALSE)</f>
        <v>0.67500000000000004</v>
      </c>
      <c r="L137" s="8" cm="1">
        <f t="array" ref="L137">VLOOKUP($B137,NAS1352First[],COLUMN(NAS1352First[Nominal Socket Size]),FALSE)</f>
        <v>0.625</v>
      </c>
      <c r="M137" s="8" cm="1">
        <f t="array" ref="M137">VLOOKUP($B137,NAS1352First[],COLUMN(NAS1352First[Key Engagement Min]),FALSE)</f>
        <v>0.37</v>
      </c>
      <c r="N137" s="8" cm="1">
        <f t="array" ref="N137">VLOOKUP($B137,NAS1352First[],COLUMN(NAS1352First[Wall Thickness Min]),FALSE)</f>
        <v>0.28499999999999998</v>
      </c>
      <c r="O137" s="8" cm="1">
        <f t="array" ref="O137">VLOOKUP($B137,NAS1352First[],COLUMN(NAS1352First[Chamfer or Radius Max]),FALSE)</f>
        <v>0.01</v>
      </c>
      <c r="P137" s="8" cm="1">
        <f t="array" ref="P137">VLOOKUP($B137,NAS1352First[],COLUMN(NAS1352First[Minimum Basic Thread Length]),FALSE)</f>
        <v>2</v>
      </c>
      <c r="Q137" s="8" cm="1">
        <f t="array" ref="Q137">VLOOKUP($B137,NAS1352First[],COLUMN(NAS1352First[Drilled Hole Location Max]),FALSE)</f>
        <v>0.23499999999999999</v>
      </c>
      <c r="R137" s="8" cm="1">
        <f t="array" ref="R137">VLOOKUP($B137,NAS1352First[],COLUMN(NAS1352First[Drilled Hole Location Min]),FALSE)</f>
        <v>0.215</v>
      </c>
      <c r="S137" s="8" cm="1">
        <f t="array" ref="S137">VLOOKUP($B137,NAS1352First[],COLUMN(NAS1352First[Drilled Hole Diameter Max]),FALSE)</f>
        <v>9.7000000000000003E-2</v>
      </c>
      <c r="T137" s="8" cm="1">
        <f t="array" ref="T137">VLOOKUP($B137,NAS1352First[],COLUMN(NAS1352First[Drilled Hole Diameter Min]),FALSE)</f>
        <v>9.0999999999999998E-2</v>
      </c>
      <c r="U137" s="8" cm="1">
        <f t="array" ref="U137">VLOOKUP($B137,NAS1352First[],COLUMN(NAS1352First[Alloy Steel Minimum Breaking Strength (lb)]),FALSE)</f>
        <v>56800</v>
      </c>
      <c r="V137" s="8" cm="1">
        <f t="array" ref="V137">VLOOKUP($B137,NAS1352First[],COLUMN(NAS1352First[Corrosion Resistant Steel Minimum Breaking Strength (lb)]),FALSE)</f>
        <v>23400</v>
      </c>
      <c r="W137" s="17" cm="1">
        <f t="array" ref="W137">VLOOKUP($B137,NAS1352First[],COLUMN(NAS1352First[Heat Resistant Steel Minimum Breaking Strength (lb)]),FALSE)</f>
        <v>53500</v>
      </c>
    </row>
    <row r="138" spans="1:23" x14ac:dyDescent="0.25">
      <c r="A138" s="15" t="s">
        <v>655</v>
      </c>
      <c r="B138" s="8" t="str">
        <f t="shared" si="4"/>
        <v>12</v>
      </c>
      <c r="C138" s="8">
        <f t="shared" si="5"/>
        <v>2.75</v>
      </c>
      <c r="D138" s="8" t="str" cm="1">
        <f t="array" ref="D138">VLOOKUP($B138,NAS1352First[],COLUMN(NAS1352First[Thread Size]),FALSE)</f>
        <v>3/4-10 UNC CLASS 3</v>
      </c>
      <c r="E138" s="8" cm="1">
        <f t="array" ref="E138">VLOOKUP($B138,NAS1352First[],COLUMN(NAS1352First[Body Diameter Max]),FALSE)</f>
        <v>0.75</v>
      </c>
      <c r="F138" s="8" cm="1">
        <f t="array" ref="F138">VLOOKUP($B138,NAS1352First[],COLUMN(NAS1352First[Body Diameter Max2]),FALSE)</f>
        <v>0.74060000000000004</v>
      </c>
      <c r="G138" s="8" cm="1">
        <f t="array" ref="G138">VLOOKUP($B138,NAS1352First[],COLUMN(NAS1352First[Head Diameter Max]),FALSE)</f>
        <v>1.125</v>
      </c>
      <c r="H138" s="8" cm="1">
        <f t="array" ref="H138">VLOOKUP($B138,NAS1352First[],COLUMN(NAS1352First[Head Diameter Min]),FALSE)</f>
        <v>1.107</v>
      </c>
      <c r="I138" s="8" cm="1">
        <f t="array" ref="I138">VLOOKUP($B138,NAS1352First[],COLUMN(NAS1352First[Head Height Max]),FALSE)</f>
        <v>0.75</v>
      </c>
      <c r="J138" s="8" cm="1">
        <f t="array" ref="J138">VLOOKUP($B138,NAS1352First[],COLUMN(NAS1352First[Head Height Min]),FALSE)</f>
        <v>0.74</v>
      </c>
      <c r="K138" s="8" cm="1">
        <f t="array" ref="K138">VLOOKUP($B138,NAS1352First[],COLUMN(NAS1352First[Head Side Height Min]),FALSE)</f>
        <v>0.67500000000000004</v>
      </c>
      <c r="L138" s="8" cm="1">
        <f t="array" ref="L138">VLOOKUP($B138,NAS1352First[],COLUMN(NAS1352First[Nominal Socket Size]),FALSE)</f>
        <v>0.625</v>
      </c>
      <c r="M138" s="8" cm="1">
        <f t="array" ref="M138">VLOOKUP($B138,NAS1352First[],COLUMN(NAS1352First[Key Engagement Min]),FALSE)</f>
        <v>0.37</v>
      </c>
      <c r="N138" s="8" cm="1">
        <f t="array" ref="N138">VLOOKUP($B138,NAS1352First[],COLUMN(NAS1352First[Wall Thickness Min]),FALSE)</f>
        <v>0.28499999999999998</v>
      </c>
      <c r="O138" s="8" cm="1">
        <f t="array" ref="O138">VLOOKUP($B138,NAS1352First[],COLUMN(NAS1352First[Chamfer or Radius Max]),FALSE)</f>
        <v>0.01</v>
      </c>
      <c r="P138" s="8" cm="1">
        <f t="array" ref="P138">VLOOKUP($B138,NAS1352First[],COLUMN(NAS1352First[Minimum Basic Thread Length]),FALSE)</f>
        <v>2</v>
      </c>
      <c r="Q138" s="8" cm="1">
        <f t="array" ref="Q138">VLOOKUP($B138,NAS1352First[],COLUMN(NAS1352First[Drilled Hole Location Max]),FALSE)</f>
        <v>0.23499999999999999</v>
      </c>
      <c r="R138" s="8" cm="1">
        <f t="array" ref="R138">VLOOKUP($B138,NAS1352First[],COLUMN(NAS1352First[Drilled Hole Location Min]),FALSE)</f>
        <v>0.215</v>
      </c>
      <c r="S138" s="8" cm="1">
        <f t="array" ref="S138">VLOOKUP($B138,NAS1352First[],COLUMN(NAS1352First[Drilled Hole Diameter Max]),FALSE)</f>
        <v>9.7000000000000003E-2</v>
      </c>
      <c r="T138" s="8" cm="1">
        <f t="array" ref="T138">VLOOKUP($B138,NAS1352First[],COLUMN(NAS1352First[Drilled Hole Diameter Min]),FALSE)</f>
        <v>9.0999999999999998E-2</v>
      </c>
      <c r="U138" s="8" cm="1">
        <f t="array" ref="U138">VLOOKUP($B138,NAS1352First[],COLUMN(NAS1352First[Alloy Steel Minimum Breaking Strength (lb)]),FALSE)</f>
        <v>56800</v>
      </c>
      <c r="V138" s="8" cm="1">
        <f t="array" ref="V138">VLOOKUP($B138,NAS1352First[],COLUMN(NAS1352First[Corrosion Resistant Steel Minimum Breaking Strength (lb)]),FALSE)</f>
        <v>23400</v>
      </c>
      <c r="W138" s="17" cm="1">
        <f t="array" ref="W138">VLOOKUP($B138,NAS1352First[],COLUMN(NAS1352First[Heat Resistant Steel Minimum Breaking Strength (lb)]),FALSE)</f>
        <v>53500</v>
      </c>
    </row>
    <row r="139" spans="1:23" x14ac:dyDescent="0.25">
      <c r="A139" s="15" t="s">
        <v>656</v>
      </c>
      <c r="B139" s="8" t="str">
        <f t="shared" si="4"/>
        <v>12</v>
      </c>
      <c r="C139" s="8">
        <f t="shared" si="5"/>
        <v>3</v>
      </c>
      <c r="D139" s="8" t="str" cm="1">
        <f t="array" ref="D139">VLOOKUP($B139,NAS1352First[],COLUMN(NAS1352First[Thread Size]),FALSE)</f>
        <v>3/4-10 UNC CLASS 3</v>
      </c>
      <c r="E139" s="8" cm="1">
        <f t="array" ref="E139">VLOOKUP($B139,NAS1352First[],COLUMN(NAS1352First[Body Diameter Max]),FALSE)</f>
        <v>0.75</v>
      </c>
      <c r="F139" s="8" cm="1">
        <f t="array" ref="F139">VLOOKUP($B139,NAS1352First[],COLUMN(NAS1352First[Body Diameter Max2]),FALSE)</f>
        <v>0.74060000000000004</v>
      </c>
      <c r="G139" s="8" cm="1">
        <f t="array" ref="G139">VLOOKUP($B139,NAS1352First[],COLUMN(NAS1352First[Head Diameter Max]),FALSE)</f>
        <v>1.125</v>
      </c>
      <c r="H139" s="8" cm="1">
        <f t="array" ref="H139">VLOOKUP($B139,NAS1352First[],COLUMN(NAS1352First[Head Diameter Min]),FALSE)</f>
        <v>1.107</v>
      </c>
      <c r="I139" s="8" cm="1">
        <f t="array" ref="I139">VLOOKUP($B139,NAS1352First[],COLUMN(NAS1352First[Head Height Max]),FALSE)</f>
        <v>0.75</v>
      </c>
      <c r="J139" s="8" cm="1">
        <f t="array" ref="J139">VLOOKUP($B139,NAS1352First[],COLUMN(NAS1352First[Head Height Min]),FALSE)</f>
        <v>0.74</v>
      </c>
      <c r="K139" s="8" cm="1">
        <f t="array" ref="K139">VLOOKUP($B139,NAS1352First[],COLUMN(NAS1352First[Head Side Height Min]),FALSE)</f>
        <v>0.67500000000000004</v>
      </c>
      <c r="L139" s="8" cm="1">
        <f t="array" ref="L139">VLOOKUP($B139,NAS1352First[],COLUMN(NAS1352First[Nominal Socket Size]),FALSE)</f>
        <v>0.625</v>
      </c>
      <c r="M139" s="8" cm="1">
        <f t="array" ref="M139">VLOOKUP($B139,NAS1352First[],COLUMN(NAS1352First[Key Engagement Min]),FALSE)</f>
        <v>0.37</v>
      </c>
      <c r="N139" s="8" cm="1">
        <f t="array" ref="N139">VLOOKUP($B139,NAS1352First[],COLUMN(NAS1352First[Wall Thickness Min]),FALSE)</f>
        <v>0.28499999999999998</v>
      </c>
      <c r="O139" s="8" cm="1">
        <f t="array" ref="O139">VLOOKUP($B139,NAS1352First[],COLUMN(NAS1352First[Chamfer or Radius Max]),FALSE)</f>
        <v>0.01</v>
      </c>
      <c r="P139" s="8" cm="1">
        <f t="array" ref="P139">VLOOKUP($B139,NAS1352First[],COLUMN(NAS1352First[Minimum Basic Thread Length]),FALSE)</f>
        <v>2</v>
      </c>
      <c r="Q139" s="8" cm="1">
        <f t="array" ref="Q139">VLOOKUP($B139,NAS1352First[],COLUMN(NAS1352First[Drilled Hole Location Max]),FALSE)</f>
        <v>0.23499999999999999</v>
      </c>
      <c r="R139" s="8" cm="1">
        <f t="array" ref="R139">VLOOKUP($B139,NAS1352First[],COLUMN(NAS1352First[Drilled Hole Location Min]),FALSE)</f>
        <v>0.215</v>
      </c>
      <c r="S139" s="8" cm="1">
        <f t="array" ref="S139">VLOOKUP($B139,NAS1352First[],COLUMN(NAS1352First[Drilled Hole Diameter Max]),FALSE)</f>
        <v>9.7000000000000003E-2</v>
      </c>
      <c r="T139" s="8" cm="1">
        <f t="array" ref="T139">VLOOKUP($B139,NAS1352First[],COLUMN(NAS1352First[Drilled Hole Diameter Min]),FALSE)</f>
        <v>9.0999999999999998E-2</v>
      </c>
      <c r="U139" s="8" cm="1">
        <f t="array" ref="U139">VLOOKUP($B139,NAS1352First[],COLUMN(NAS1352First[Alloy Steel Minimum Breaking Strength (lb)]),FALSE)</f>
        <v>56800</v>
      </c>
      <c r="V139" s="8" cm="1">
        <f t="array" ref="V139">VLOOKUP($B139,NAS1352First[],COLUMN(NAS1352First[Corrosion Resistant Steel Minimum Breaking Strength (lb)]),FALSE)</f>
        <v>23400</v>
      </c>
      <c r="W139" s="17" cm="1">
        <f t="array" ref="W139">VLOOKUP($B139,NAS1352First[],COLUMN(NAS1352First[Heat Resistant Steel Minimum Breaking Strength (lb)]),FALSE)</f>
        <v>53500</v>
      </c>
    </row>
    <row r="140" spans="1:23" x14ac:dyDescent="0.25">
      <c r="A140" s="15" t="s">
        <v>657</v>
      </c>
      <c r="B140" s="8" t="str">
        <f t="shared" si="4"/>
        <v>12</v>
      </c>
      <c r="C140" s="8">
        <f t="shared" si="5"/>
        <v>3.25</v>
      </c>
      <c r="D140" s="8" t="str" cm="1">
        <f t="array" ref="D140">VLOOKUP($B140,NAS1352First[],COLUMN(NAS1352First[Thread Size]),FALSE)</f>
        <v>3/4-10 UNC CLASS 3</v>
      </c>
      <c r="E140" s="8" cm="1">
        <f t="array" ref="E140">VLOOKUP($B140,NAS1352First[],COLUMN(NAS1352First[Body Diameter Max]),FALSE)</f>
        <v>0.75</v>
      </c>
      <c r="F140" s="8" cm="1">
        <f t="array" ref="F140">VLOOKUP($B140,NAS1352First[],COLUMN(NAS1352First[Body Diameter Max2]),FALSE)</f>
        <v>0.74060000000000004</v>
      </c>
      <c r="G140" s="8" cm="1">
        <f t="array" ref="G140">VLOOKUP($B140,NAS1352First[],COLUMN(NAS1352First[Head Diameter Max]),FALSE)</f>
        <v>1.125</v>
      </c>
      <c r="H140" s="8" cm="1">
        <f t="array" ref="H140">VLOOKUP($B140,NAS1352First[],COLUMN(NAS1352First[Head Diameter Min]),FALSE)</f>
        <v>1.107</v>
      </c>
      <c r="I140" s="8" cm="1">
        <f t="array" ref="I140">VLOOKUP($B140,NAS1352First[],COLUMN(NAS1352First[Head Height Max]),FALSE)</f>
        <v>0.75</v>
      </c>
      <c r="J140" s="8" cm="1">
        <f t="array" ref="J140">VLOOKUP($B140,NAS1352First[],COLUMN(NAS1352First[Head Height Min]),FALSE)</f>
        <v>0.74</v>
      </c>
      <c r="K140" s="8" cm="1">
        <f t="array" ref="K140">VLOOKUP($B140,NAS1352First[],COLUMN(NAS1352First[Head Side Height Min]),FALSE)</f>
        <v>0.67500000000000004</v>
      </c>
      <c r="L140" s="8" cm="1">
        <f t="array" ref="L140">VLOOKUP($B140,NAS1352First[],COLUMN(NAS1352First[Nominal Socket Size]),FALSE)</f>
        <v>0.625</v>
      </c>
      <c r="M140" s="8" cm="1">
        <f t="array" ref="M140">VLOOKUP($B140,NAS1352First[],COLUMN(NAS1352First[Key Engagement Min]),FALSE)</f>
        <v>0.37</v>
      </c>
      <c r="N140" s="8" cm="1">
        <f t="array" ref="N140">VLOOKUP($B140,NAS1352First[],COLUMN(NAS1352First[Wall Thickness Min]),FALSE)</f>
        <v>0.28499999999999998</v>
      </c>
      <c r="O140" s="8" cm="1">
        <f t="array" ref="O140">VLOOKUP($B140,NAS1352First[],COLUMN(NAS1352First[Chamfer or Radius Max]),FALSE)</f>
        <v>0.01</v>
      </c>
      <c r="P140" s="8" cm="1">
        <f t="array" ref="P140">VLOOKUP($B140,NAS1352First[],COLUMN(NAS1352First[Minimum Basic Thread Length]),FALSE)</f>
        <v>2</v>
      </c>
      <c r="Q140" s="8" cm="1">
        <f t="array" ref="Q140">VLOOKUP($B140,NAS1352First[],COLUMN(NAS1352First[Drilled Hole Location Max]),FALSE)</f>
        <v>0.23499999999999999</v>
      </c>
      <c r="R140" s="8" cm="1">
        <f t="array" ref="R140">VLOOKUP($B140,NAS1352First[],COLUMN(NAS1352First[Drilled Hole Location Min]),FALSE)</f>
        <v>0.215</v>
      </c>
      <c r="S140" s="8" cm="1">
        <f t="array" ref="S140">VLOOKUP($B140,NAS1352First[],COLUMN(NAS1352First[Drilled Hole Diameter Max]),FALSE)</f>
        <v>9.7000000000000003E-2</v>
      </c>
      <c r="T140" s="8" cm="1">
        <f t="array" ref="T140">VLOOKUP($B140,NAS1352First[],COLUMN(NAS1352First[Drilled Hole Diameter Min]),FALSE)</f>
        <v>9.0999999999999998E-2</v>
      </c>
      <c r="U140" s="8" cm="1">
        <f t="array" ref="U140">VLOOKUP($B140,NAS1352First[],COLUMN(NAS1352First[Alloy Steel Minimum Breaking Strength (lb)]),FALSE)</f>
        <v>56800</v>
      </c>
      <c r="V140" s="8" cm="1">
        <f t="array" ref="V140">VLOOKUP($B140,NAS1352First[],COLUMN(NAS1352First[Corrosion Resistant Steel Minimum Breaking Strength (lb)]),FALSE)</f>
        <v>23400</v>
      </c>
      <c r="W140" s="17" cm="1">
        <f t="array" ref="W140">VLOOKUP($B140,NAS1352First[],COLUMN(NAS1352First[Heat Resistant Steel Minimum Breaking Strength (lb)]),FALSE)</f>
        <v>53500</v>
      </c>
    </row>
    <row r="141" spans="1:23" x14ac:dyDescent="0.25">
      <c r="A141" s="15" t="s">
        <v>658</v>
      </c>
      <c r="B141" s="8" t="str">
        <f t="shared" si="4"/>
        <v>12</v>
      </c>
      <c r="C141" s="8">
        <f t="shared" si="5"/>
        <v>3.5</v>
      </c>
      <c r="D141" s="8" t="str" cm="1">
        <f t="array" ref="D141">VLOOKUP($B141,NAS1352First[],COLUMN(NAS1352First[Thread Size]),FALSE)</f>
        <v>3/4-10 UNC CLASS 3</v>
      </c>
      <c r="E141" s="8" cm="1">
        <f t="array" ref="E141">VLOOKUP($B141,NAS1352First[],COLUMN(NAS1352First[Body Diameter Max]),FALSE)</f>
        <v>0.75</v>
      </c>
      <c r="F141" s="8" cm="1">
        <f t="array" ref="F141">VLOOKUP($B141,NAS1352First[],COLUMN(NAS1352First[Body Diameter Max2]),FALSE)</f>
        <v>0.74060000000000004</v>
      </c>
      <c r="G141" s="8" cm="1">
        <f t="array" ref="G141">VLOOKUP($B141,NAS1352First[],COLUMN(NAS1352First[Head Diameter Max]),FALSE)</f>
        <v>1.125</v>
      </c>
      <c r="H141" s="8" cm="1">
        <f t="array" ref="H141">VLOOKUP($B141,NAS1352First[],COLUMN(NAS1352First[Head Diameter Min]),FALSE)</f>
        <v>1.107</v>
      </c>
      <c r="I141" s="8" cm="1">
        <f t="array" ref="I141">VLOOKUP($B141,NAS1352First[],COLUMN(NAS1352First[Head Height Max]),FALSE)</f>
        <v>0.75</v>
      </c>
      <c r="J141" s="8" cm="1">
        <f t="array" ref="J141">VLOOKUP($B141,NAS1352First[],COLUMN(NAS1352First[Head Height Min]),FALSE)</f>
        <v>0.74</v>
      </c>
      <c r="K141" s="8" cm="1">
        <f t="array" ref="K141">VLOOKUP($B141,NAS1352First[],COLUMN(NAS1352First[Head Side Height Min]),FALSE)</f>
        <v>0.67500000000000004</v>
      </c>
      <c r="L141" s="8" cm="1">
        <f t="array" ref="L141">VLOOKUP($B141,NAS1352First[],COLUMN(NAS1352First[Nominal Socket Size]),FALSE)</f>
        <v>0.625</v>
      </c>
      <c r="M141" s="8" cm="1">
        <f t="array" ref="M141">VLOOKUP($B141,NAS1352First[],COLUMN(NAS1352First[Key Engagement Min]),FALSE)</f>
        <v>0.37</v>
      </c>
      <c r="N141" s="8" cm="1">
        <f t="array" ref="N141">VLOOKUP($B141,NAS1352First[],COLUMN(NAS1352First[Wall Thickness Min]),FALSE)</f>
        <v>0.28499999999999998</v>
      </c>
      <c r="O141" s="8" cm="1">
        <f t="array" ref="O141">VLOOKUP($B141,NAS1352First[],COLUMN(NAS1352First[Chamfer or Radius Max]),FALSE)</f>
        <v>0.01</v>
      </c>
      <c r="P141" s="8" cm="1">
        <f t="array" ref="P141">VLOOKUP($B141,NAS1352First[],COLUMN(NAS1352First[Minimum Basic Thread Length]),FALSE)</f>
        <v>2</v>
      </c>
      <c r="Q141" s="8" cm="1">
        <f t="array" ref="Q141">VLOOKUP($B141,NAS1352First[],COLUMN(NAS1352First[Drilled Hole Location Max]),FALSE)</f>
        <v>0.23499999999999999</v>
      </c>
      <c r="R141" s="8" cm="1">
        <f t="array" ref="R141">VLOOKUP($B141,NAS1352First[],COLUMN(NAS1352First[Drilled Hole Location Min]),FALSE)</f>
        <v>0.215</v>
      </c>
      <c r="S141" s="8" cm="1">
        <f t="array" ref="S141">VLOOKUP($B141,NAS1352First[],COLUMN(NAS1352First[Drilled Hole Diameter Max]),FALSE)</f>
        <v>9.7000000000000003E-2</v>
      </c>
      <c r="T141" s="8" cm="1">
        <f t="array" ref="T141">VLOOKUP($B141,NAS1352First[],COLUMN(NAS1352First[Drilled Hole Diameter Min]),FALSE)</f>
        <v>9.0999999999999998E-2</v>
      </c>
      <c r="U141" s="8" cm="1">
        <f t="array" ref="U141">VLOOKUP($B141,NAS1352First[],COLUMN(NAS1352First[Alloy Steel Minimum Breaking Strength (lb)]),FALSE)</f>
        <v>56800</v>
      </c>
      <c r="V141" s="8" cm="1">
        <f t="array" ref="V141">VLOOKUP($B141,NAS1352First[],COLUMN(NAS1352First[Corrosion Resistant Steel Minimum Breaking Strength (lb)]),FALSE)</f>
        <v>23400</v>
      </c>
      <c r="W141" s="17" cm="1">
        <f t="array" ref="W141">VLOOKUP($B141,NAS1352First[],COLUMN(NAS1352First[Heat Resistant Steel Minimum Breaking Strength (lb)]),FALSE)</f>
        <v>53500</v>
      </c>
    </row>
    <row r="142" spans="1:23" x14ac:dyDescent="0.25">
      <c r="A142" s="15" t="s">
        <v>659</v>
      </c>
      <c r="B142" s="8" t="str">
        <f t="shared" si="4"/>
        <v>14</v>
      </c>
      <c r="C142" s="8">
        <f t="shared" si="5"/>
        <v>2</v>
      </c>
      <c r="D142" s="8" t="str" cm="1">
        <f t="array" ref="D142">VLOOKUP($B142,NAS1352First[],COLUMN(NAS1352First[Thread Size]),FALSE)</f>
        <v>7/8-9 UNC CLASS 3</v>
      </c>
      <c r="E142" s="8" cm="1">
        <f t="array" ref="E142">VLOOKUP($B142,NAS1352First[],COLUMN(NAS1352First[Body Diameter Max]),FALSE)</f>
        <v>0.875</v>
      </c>
      <c r="F142" s="8" cm="1">
        <f t="array" ref="F142">VLOOKUP($B142,NAS1352First[],COLUMN(NAS1352First[Body Diameter Max2]),FALSE)</f>
        <v>0.86470000000000002</v>
      </c>
      <c r="G142" s="8" cm="1">
        <f t="array" ref="G142">VLOOKUP($B142,NAS1352First[],COLUMN(NAS1352First[Head Diameter Max]),FALSE)</f>
        <v>1.3120000000000001</v>
      </c>
      <c r="H142" s="8" cm="1">
        <f t="array" ref="H142">VLOOKUP($B142,NAS1352First[],COLUMN(NAS1352First[Head Diameter Min]),FALSE)</f>
        <v>1.2929999999999999</v>
      </c>
      <c r="I142" s="8" cm="1">
        <f t="array" ref="I142">VLOOKUP($B142,NAS1352First[],COLUMN(NAS1352First[Head Height Max]),FALSE)</f>
        <v>0.875</v>
      </c>
      <c r="J142" s="8" cm="1">
        <f t="array" ref="J142">VLOOKUP($B142,NAS1352First[],COLUMN(NAS1352First[Head Height Min]),FALSE)</f>
        <v>0.86399999999999999</v>
      </c>
      <c r="K142" s="8" cm="1">
        <f t="array" ref="K142">VLOOKUP($B142,NAS1352First[],COLUMN(NAS1352First[Head Side Height Min]),FALSE)</f>
        <v>0.78700000000000003</v>
      </c>
      <c r="L142" s="8" cm="1">
        <f t="array" ref="L142">VLOOKUP($B142,NAS1352First[],COLUMN(NAS1352First[Nominal Socket Size]),FALSE)</f>
        <v>0.75</v>
      </c>
      <c r="M142" s="8" cm="1">
        <f t="array" ref="M142">VLOOKUP($B142,NAS1352First[],COLUMN(NAS1352First[Key Engagement Min]),FALSE)</f>
        <v>0.432</v>
      </c>
      <c r="N142" s="8" cm="1">
        <f t="array" ref="N142">VLOOKUP($B142,NAS1352First[],COLUMN(NAS1352First[Wall Thickness Min]),FALSE)</f>
        <v>0.33300000000000002</v>
      </c>
      <c r="O142" s="8" cm="1">
        <f t="array" ref="O142">VLOOKUP($B142,NAS1352First[],COLUMN(NAS1352First[Chamfer or Radius Max]),FALSE)</f>
        <v>1.4999999999999999E-2</v>
      </c>
      <c r="P142" s="8" cm="1">
        <f t="array" ref="P142">VLOOKUP($B142,NAS1352First[],COLUMN(NAS1352First[Minimum Basic Thread Length]),FALSE)</f>
        <v>2.25</v>
      </c>
      <c r="Q142" s="8" cm="1">
        <f t="array" ref="Q142">VLOOKUP($B142,NAS1352First[],COLUMN(NAS1352First[Drilled Hole Location Max]),FALSE)</f>
        <v>0.27300000000000002</v>
      </c>
      <c r="R142" s="8" cm="1">
        <f t="array" ref="R142">VLOOKUP($B142,NAS1352First[],COLUMN(NAS1352First[Drilled Hole Location Min]),FALSE)</f>
        <v>0.253</v>
      </c>
      <c r="S142" s="8" cm="1">
        <f t="array" ref="S142">VLOOKUP($B142,NAS1352First[],COLUMN(NAS1352First[Drilled Hole Diameter Max]),FALSE)</f>
        <v>9.7000000000000003E-2</v>
      </c>
      <c r="T142" s="8" cm="1">
        <f t="array" ref="T142">VLOOKUP($B142,NAS1352First[],COLUMN(NAS1352First[Drilled Hole Diameter Min]),FALSE)</f>
        <v>9.0999999999999998E-2</v>
      </c>
      <c r="U142" s="8" cm="1">
        <f t="array" ref="U142">VLOOKUP($B142,NAS1352First[],COLUMN(NAS1352First[Alloy Steel Minimum Breaking Strength (lb)]),FALSE)</f>
        <v>78500</v>
      </c>
      <c r="V142" s="8" cm="1">
        <f t="array" ref="V142">VLOOKUP($B142,NAS1352First[],COLUMN(NAS1352First[Corrosion Resistant Steel Minimum Breaking Strength (lb)]),FALSE)</f>
        <v>32300</v>
      </c>
      <c r="W142" s="17" cm="1">
        <f t="array" ref="W142">VLOOKUP($B142,NAS1352First[],COLUMN(NAS1352First[Heat Resistant Steel Minimum Breaking Strength (lb)]),FALSE)</f>
        <v>73900</v>
      </c>
    </row>
    <row r="143" spans="1:23" x14ac:dyDescent="0.25">
      <c r="A143" s="15" t="s">
        <v>660</v>
      </c>
      <c r="B143" s="8" t="str">
        <f t="shared" si="4"/>
        <v>14</v>
      </c>
      <c r="C143" s="8">
        <f t="shared" si="5"/>
        <v>2.25</v>
      </c>
      <c r="D143" s="8" t="str" cm="1">
        <f t="array" ref="D143">VLOOKUP($B143,NAS1352First[],COLUMN(NAS1352First[Thread Size]),FALSE)</f>
        <v>7/8-9 UNC CLASS 3</v>
      </c>
      <c r="E143" s="8" cm="1">
        <f t="array" ref="E143">VLOOKUP($B143,NAS1352First[],COLUMN(NAS1352First[Body Diameter Max]),FALSE)</f>
        <v>0.875</v>
      </c>
      <c r="F143" s="8" cm="1">
        <f t="array" ref="F143">VLOOKUP($B143,NAS1352First[],COLUMN(NAS1352First[Body Diameter Max2]),FALSE)</f>
        <v>0.86470000000000002</v>
      </c>
      <c r="G143" s="8" cm="1">
        <f t="array" ref="G143">VLOOKUP($B143,NAS1352First[],COLUMN(NAS1352First[Head Diameter Max]),FALSE)</f>
        <v>1.3120000000000001</v>
      </c>
      <c r="H143" s="8" cm="1">
        <f t="array" ref="H143">VLOOKUP($B143,NAS1352First[],COLUMN(NAS1352First[Head Diameter Min]),FALSE)</f>
        <v>1.2929999999999999</v>
      </c>
      <c r="I143" s="8" cm="1">
        <f t="array" ref="I143">VLOOKUP($B143,NAS1352First[],COLUMN(NAS1352First[Head Height Max]),FALSE)</f>
        <v>0.875</v>
      </c>
      <c r="J143" s="8" cm="1">
        <f t="array" ref="J143">VLOOKUP($B143,NAS1352First[],COLUMN(NAS1352First[Head Height Min]),FALSE)</f>
        <v>0.86399999999999999</v>
      </c>
      <c r="K143" s="8" cm="1">
        <f t="array" ref="K143">VLOOKUP($B143,NAS1352First[],COLUMN(NAS1352First[Head Side Height Min]),FALSE)</f>
        <v>0.78700000000000003</v>
      </c>
      <c r="L143" s="8" cm="1">
        <f t="array" ref="L143">VLOOKUP($B143,NAS1352First[],COLUMN(NAS1352First[Nominal Socket Size]),FALSE)</f>
        <v>0.75</v>
      </c>
      <c r="M143" s="8" cm="1">
        <f t="array" ref="M143">VLOOKUP($B143,NAS1352First[],COLUMN(NAS1352First[Key Engagement Min]),FALSE)</f>
        <v>0.432</v>
      </c>
      <c r="N143" s="8" cm="1">
        <f t="array" ref="N143">VLOOKUP($B143,NAS1352First[],COLUMN(NAS1352First[Wall Thickness Min]),FALSE)</f>
        <v>0.33300000000000002</v>
      </c>
      <c r="O143" s="8" cm="1">
        <f t="array" ref="O143">VLOOKUP($B143,NAS1352First[],COLUMN(NAS1352First[Chamfer or Radius Max]),FALSE)</f>
        <v>1.4999999999999999E-2</v>
      </c>
      <c r="P143" s="8" cm="1">
        <f t="array" ref="P143">VLOOKUP($B143,NAS1352First[],COLUMN(NAS1352First[Minimum Basic Thread Length]),FALSE)</f>
        <v>2.25</v>
      </c>
      <c r="Q143" s="8" cm="1">
        <f t="array" ref="Q143">VLOOKUP($B143,NAS1352First[],COLUMN(NAS1352First[Drilled Hole Location Max]),FALSE)</f>
        <v>0.27300000000000002</v>
      </c>
      <c r="R143" s="8" cm="1">
        <f t="array" ref="R143">VLOOKUP($B143,NAS1352First[],COLUMN(NAS1352First[Drilled Hole Location Min]),FALSE)</f>
        <v>0.253</v>
      </c>
      <c r="S143" s="8" cm="1">
        <f t="array" ref="S143">VLOOKUP($B143,NAS1352First[],COLUMN(NAS1352First[Drilled Hole Diameter Max]),FALSE)</f>
        <v>9.7000000000000003E-2</v>
      </c>
      <c r="T143" s="8" cm="1">
        <f t="array" ref="T143">VLOOKUP($B143,NAS1352First[],COLUMN(NAS1352First[Drilled Hole Diameter Min]),FALSE)</f>
        <v>9.0999999999999998E-2</v>
      </c>
      <c r="U143" s="8" cm="1">
        <f t="array" ref="U143">VLOOKUP($B143,NAS1352First[],COLUMN(NAS1352First[Alloy Steel Minimum Breaking Strength (lb)]),FALSE)</f>
        <v>78500</v>
      </c>
      <c r="V143" s="8" cm="1">
        <f t="array" ref="V143">VLOOKUP($B143,NAS1352First[],COLUMN(NAS1352First[Corrosion Resistant Steel Minimum Breaking Strength (lb)]),FALSE)</f>
        <v>32300</v>
      </c>
      <c r="W143" s="17" cm="1">
        <f t="array" ref="W143">VLOOKUP($B143,NAS1352First[],COLUMN(NAS1352First[Heat Resistant Steel Minimum Breaking Strength (lb)]),FALSE)</f>
        <v>73900</v>
      </c>
    </row>
    <row r="144" spans="1:23" x14ac:dyDescent="0.25">
      <c r="A144" s="15" t="s">
        <v>661</v>
      </c>
      <c r="B144" s="8" t="str">
        <f t="shared" si="4"/>
        <v>14</v>
      </c>
      <c r="C144" s="8">
        <f t="shared" si="5"/>
        <v>2.5</v>
      </c>
      <c r="D144" s="8" t="str" cm="1">
        <f t="array" ref="D144">VLOOKUP($B144,NAS1352First[],COLUMN(NAS1352First[Thread Size]),FALSE)</f>
        <v>7/8-9 UNC CLASS 3</v>
      </c>
      <c r="E144" s="8" cm="1">
        <f t="array" ref="E144">VLOOKUP($B144,NAS1352First[],COLUMN(NAS1352First[Body Diameter Max]),FALSE)</f>
        <v>0.875</v>
      </c>
      <c r="F144" s="8" cm="1">
        <f t="array" ref="F144">VLOOKUP($B144,NAS1352First[],COLUMN(NAS1352First[Body Diameter Max2]),FALSE)</f>
        <v>0.86470000000000002</v>
      </c>
      <c r="G144" s="8" cm="1">
        <f t="array" ref="G144">VLOOKUP($B144,NAS1352First[],COLUMN(NAS1352First[Head Diameter Max]),FALSE)</f>
        <v>1.3120000000000001</v>
      </c>
      <c r="H144" s="8" cm="1">
        <f t="array" ref="H144">VLOOKUP($B144,NAS1352First[],COLUMN(NAS1352First[Head Diameter Min]),FALSE)</f>
        <v>1.2929999999999999</v>
      </c>
      <c r="I144" s="8" cm="1">
        <f t="array" ref="I144">VLOOKUP($B144,NAS1352First[],COLUMN(NAS1352First[Head Height Max]),FALSE)</f>
        <v>0.875</v>
      </c>
      <c r="J144" s="8" cm="1">
        <f t="array" ref="J144">VLOOKUP($B144,NAS1352First[],COLUMN(NAS1352First[Head Height Min]),FALSE)</f>
        <v>0.86399999999999999</v>
      </c>
      <c r="K144" s="8" cm="1">
        <f t="array" ref="K144">VLOOKUP($B144,NAS1352First[],COLUMN(NAS1352First[Head Side Height Min]),FALSE)</f>
        <v>0.78700000000000003</v>
      </c>
      <c r="L144" s="8" cm="1">
        <f t="array" ref="L144">VLOOKUP($B144,NAS1352First[],COLUMN(NAS1352First[Nominal Socket Size]),FALSE)</f>
        <v>0.75</v>
      </c>
      <c r="M144" s="8" cm="1">
        <f t="array" ref="M144">VLOOKUP($B144,NAS1352First[],COLUMN(NAS1352First[Key Engagement Min]),FALSE)</f>
        <v>0.432</v>
      </c>
      <c r="N144" s="8" cm="1">
        <f t="array" ref="N144">VLOOKUP($B144,NAS1352First[],COLUMN(NAS1352First[Wall Thickness Min]),FALSE)</f>
        <v>0.33300000000000002</v>
      </c>
      <c r="O144" s="8" cm="1">
        <f t="array" ref="O144">VLOOKUP($B144,NAS1352First[],COLUMN(NAS1352First[Chamfer or Radius Max]),FALSE)</f>
        <v>1.4999999999999999E-2</v>
      </c>
      <c r="P144" s="8" cm="1">
        <f t="array" ref="P144">VLOOKUP($B144,NAS1352First[],COLUMN(NAS1352First[Minimum Basic Thread Length]),FALSE)</f>
        <v>2.25</v>
      </c>
      <c r="Q144" s="8" cm="1">
        <f t="array" ref="Q144">VLOOKUP($B144,NAS1352First[],COLUMN(NAS1352First[Drilled Hole Location Max]),FALSE)</f>
        <v>0.27300000000000002</v>
      </c>
      <c r="R144" s="8" cm="1">
        <f t="array" ref="R144">VLOOKUP($B144,NAS1352First[],COLUMN(NAS1352First[Drilled Hole Location Min]),FALSE)</f>
        <v>0.253</v>
      </c>
      <c r="S144" s="8" cm="1">
        <f t="array" ref="S144">VLOOKUP($B144,NAS1352First[],COLUMN(NAS1352First[Drilled Hole Diameter Max]),FALSE)</f>
        <v>9.7000000000000003E-2</v>
      </c>
      <c r="T144" s="8" cm="1">
        <f t="array" ref="T144">VLOOKUP($B144,NAS1352First[],COLUMN(NAS1352First[Drilled Hole Diameter Min]),FALSE)</f>
        <v>9.0999999999999998E-2</v>
      </c>
      <c r="U144" s="8" cm="1">
        <f t="array" ref="U144">VLOOKUP($B144,NAS1352First[],COLUMN(NAS1352First[Alloy Steel Minimum Breaking Strength (lb)]),FALSE)</f>
        <v>78500</v>
      </c>
      <c r="V144" s="8" cm="1">
        <f t="array" ref="V144">VLOOKUP($B144,NAS1352First[],COLUMN(NAS1352First[Corrosion Resistant Steel Minimum Breaking Strength (lb)]),FALSE)</f>
        <v>32300</v>
      </c>
      <c r="W144" s="17" cm="1">
        <f t="array" ref="W144">VLOOKUP($B144,NAS1352First[],COLUMN(NAS1352First[Heat Resistant Steel Minimum Breaking Strength (lb)]),FALSE)</f>
        <v>73900</v>
      </c>
    </row>
    <row r="145" spans="1:23" x14ac:dyDescent="0.25">
      <c r="A145" s="15" t="s">
        <v>662</v>
      </c>
      <c r="B145" s="8" t="str">
        <f t="shared" si="4"/>
        <v>14</v>
      </c>
      <c r="C145" s="8">
        <f t="shared" si="5"/>
        <v>2.75</v>
      </c>
      <c r="D145" s="8" t="str" cm="1">
        <f t="array" ref="D145">VLOOKUP($B145,NAS1352First[],COLUMN(NAS1352First[Thread Size]),FALSE)</f>
        <v>7/8-9 UNC CLASS 3</v>
      </c>
      <c r="E145" s="8" cm="1">
        <f t="array" ref="E145">VLOOKUP($B145,NAS1352First[],COLUMN(NAS1352First[Body Diameter Max]),FALSE)</f>
        <v>0.875</v>
      </c>
      <c r="F145" s="8" cm="1">
        <f t="array" ref="F145">VLOOKUP($B145,NAS1352First[],COLUMN(NAS1352First[Body Diameter Max2]),FALSE)</f>
        <v>0.86470000000000002</v>
      </c>
      <c r="G145" s="8" cm="1">
        <f t="array" ref="G145">VLOOKUP($B145,NAS1352First[],COLUMN(NAS1352First[Head Diameter Max]),FALSE)</f>
        <v>1.3120000000000001</v>
      </c>
      <c r="H145" s="8" cm="1">
        <f t="array" ref="H145">VLOOKUP($B145,NAS1352First[],COLUMN(NAS1352First[Head Diameter Min]),FALSE)</f>
        <v>1.2929999999999999</v>
      </c>
      <c r="I145" s="8" cm="1">
        <f t="array" ref="I145">VLOOKUP($B145,NAS1352First[],COLUMN(NAS1352First[Head Height Max]),FALSE)</f>
        <v>0.875</v>
      </c>
      <c r="J145" s="8" cm="1">
        <f t="array" ref="J145">VLOOKUP($B145,NAS1352First[],COLUMN(NAS1352First[Head Height Min]),FALSE)</f>
        <v>0.86399999999999999</v>
      </c>
      <c r="K145" s="8" cm="1">
        <f t="array" ref="K145">VLOOKUP($B145,NAS1352First[],COLUMN(NAS1352First[Head Side Height Min]),FALSE)</f>
        <v>0.78700000000000003</v>
      </c>
      <c r="L145" s="8" cm="1">
        <f t="array" ref="L145">VLOOKUP($B145,NAS1352First[],COLUMN(NAS1352First[Nominal Socket Size]),FALSE)</f>
        <v>0.75</v>
      </c>
      <c r="M145" s="8" cm="1">
        <f t="array" ref="M145">VLOOKUP($B145,NAS1352First[],COLUMN(NAS1352First[Key Engagement Min]),FALSE)</f>
        <v>0.432</v>
      </c>
      <c r="N145" s="8" cm="1">
        <f t="array" ref="N145">VLOOKUP($B145,NAS1352First[],COLUMN(NAS1352First[Wall Thickness Min]),FALSE)</f>
        <v>0.33300000000000002</v>
      </c>
      <c r="O145" s="8" cm="1">
        <f t="array" ref="O145">VLOOKUP($B145,NAS1352First[],COLUMN(NAS1352First[Chamfer or Radius Max]),FALSE)</f>
        <v>1.4999999999999999E-2</v>
      </c>
      <c r="P145" s="8" cm="1">
        <f t="array" ref="P145">VLOOKUP($B145,NAS1352First[],COLUMN(NAS1352First[Minimum Basic Thread Length]),FALSE)</f>
        <v>2.25</v>
      </c>
      <c r="Q145" s="8" cm="1">
        <f t="array" ref="Q145">VLOOKUP($B145,NAS1352First[],COLUMN(NAS1352First[Drilled Hole Location Max]),FALSE)</f>
        <v>0.27300000000000002</v>
      </c>
      <c r="R145" s="8" cm="1">
        <f t="array" ref="R145">VLOOKUP($B145,NAS1352First[],COLUMN(NAS1352First[Drilled Hole Location Min]),FALSE)</f>
        <v>0.253</v>
      </c>
      <c r="S145" s="8" cm="1">
        <f t="array" ref="S145">VLOOKUP($B145,NAS1352First[],COLUMN(NAS1352First[Drilled Hole Diameter Max]),FALSE)</f>
        <v>9.7000000000000003E-2</v>
      </c>
      <c r="T145" s="8" cm="1">
        <f t="array" ref="T145">VLOOKUP($B145,NAS1352First[],COLUMN(NAS1352First[Drilled Hole Diameter Min]),FALSE)</f>
        <v>9.0999999999999998E-2</v>
      </c>
      <c r="U145" s="8" cm="1">
        <f t="array" ref="U145">VLOOKUP($B145,NAS1352First[],COLUMN(NAS1352First[Alloy Steel Minimum Breaking Strength (lb)]),FALSE)</f>
        <v>78500</v>
      </c>
      <c r="V145" s="8" cm="1">
        <f t="array" ref="V145">VLOOKUP($B145,NAS1352First[],COLUMN(NAS1352First[Corrosion Resistant Steel Minimum Breaking Strength (lb)]),FALSE)</f>
        <v>32300</v>
      </c>
      <c r="W145" s="17" cm="1">
        <f t="array" ref="W145">VLOOKUP($B145,NAS1352First[],COLUMN(NAS1352First[Heat Resistant Steel Minimum Breaking Strength (lb)]),FALSE)</f>
        <v>73900</v>
      </c>
    </row>
    <row r="146" spans="1:23" x14ac:dyDescent="0.25">
      <c r="A146" s="15" t="s">
        <v>663</v>
      </c>
      <c r="B146" s="8" t="str">
        <f t="shared" si="4"/>
        <v>14</v>
      </c>
      <c r="C146" s="8">
        <f t="shared" si="5"/>
        <v>3</v>
      </c>
      <c r="D146" s="8" t="str" cm="1">
        <f t="array" ref="D146">VLOOKUP($B146,NAS1352First[],COLUMN(NAS1352First[Thread Size]),FALSE)</f>
        <v>7/8-9 UNC CLASS 3</v>
      </c>
      <c r="E146" s="8" cm="1">
        <f t="array" ref="E146">VLOOKUP($B146,NAS1352First[],COLUMN(NAS1352First[Body Diameter Max]),FALSE)</f>
        <v>0.875</v>
      </c>
      <c r="F146" s="8" cm="1">
        <f t="array" ref="F146">VLOOKUP($B146,NAS1352First[],COLUMN(NAS1352First[Body Diameter Max2]),FALSE)</f>
        <v>0.86470000000000002</v>
      </c>
      <c r="G146" s="8" cm="1">
        <f t="array" ref="G146">VLOOKUP($B146,NAS1352First[],COLUMN(NAS1352First[Head Diameter Max]),FALSE)</f>
        <v>1.3120000000000001</v>
      </c>
      <c r="H146" s="8" cm="1">
        <f t="array" ref="H146">VLOOKUP($B146,NAS1352First[],COLUMN(NAS1352First[Head Diameter Min]),FALSE)</f>
        <v>1.2929999999999999</v>
      </c>
      <c r="I146" s="8" cm="1">
        <f t="array" ref="I146">VLOOKUP($B146,NAS1352First[],COLUMN(NAS1352First[Head Height Max]),FALSE)</f>
        <v>0.875</v>
      </c>
      <c r="J146" s="8" cm="1">
        <f t="array" ref="J146">VLOOKUP($B146,NAS1352First[],COLUMN(NAS1352First[Head Height Min]),FALSE)</f>
        <v>0.86399999999999999</v>
      </c>
      <c r="K146" s="8" cm="1">
        <f t="array" ref="K146">VLOOKUP($B146,NAS1352First[],COLUMN(NAS1352First[Head Side Height Min]),FALSE)</f>
        <v>0.78700000000000003</v>
      </c>
      <c r="L146" s="8" cm="1">
        <f t="array" ref="L146">VLOOKUP($B146,NAS1352First[],COLUMN(NAS1352First[Nominal Socket Size]),FALSE)</f>
        <v>0.75</v>
      </c>
      <c r="M146" s="8" cm="1">
        <f t="array" ref="M146">VLOOKUP($B146,NAS1352First[],COLUMN(NAS1352First[Key Engagement Min]),FALSE)</f>
        <v>0.432</v>
      </c>
      <c r="N146" s="8" cm="1">
        <f t="array" ref="N146">VLOOKUP($B146,NAS1352First[],COLUMN(NAS1352First[Wall Thickness Min]),FALSE)</f>
        <v>0.33300000000000002</v>
      </c>
      <c r="O146" s="8" cm="1">
        <f t="array" ref="O146">VLOOKUP($B146,NAS1352First[],COLUMN(NAS1352First[Chamfer or Radius Max]),FALSE)</f>
        <v>1.4999999999999999E-2</v>
      </c>
      <c r="P146" s="8" cm="1">
        <f t="array" ref="P146">VLOOKUP($B146,NAS1352First[],COLUMN(NAS1352First[Minimum Basic Thread Length]),FALSE)</f>
        <v>2.25</v>
      </c>
      <c r="Q146" s="8" cm="1">
        <f t="array" ref="Q146">VLOOKUP($B146,NAS1352First[],COLUMN(NAS1352First[Drilled Hole Location Max]),FALSE)</f>
        <v>0.27300000000000002</v>
      </c>
      <c r="R146" s="8" cm="1">
        <f t="array" ref="R146">VLOOKUP($B146,NAS1352First[],COLUMN(NAS1352First[Drilled Hole Location Min]),FALSE)</f>
        <v>0.253</v>
      </c>
      <c r="S146" s="8" cm="1">
        <f t="array" ref="S146">VLOOKUP($B146,NAS1352First[],COLUMN(NAS1352First[Drilled Hole Diameter Max]),FALSE)</f>
        <v>9.7000000000000003E-2</v>
      </c>
      <c r="T146" s="8" cm="1">
        <f t="array" ref="T146">VLOOKUP($B146,NAS1352First[],COLUMN(NAS1352First[Drilled Hole Diameter Min]),FALSE)</f>
        <v>9.0999999999999998E-2</v>
      </c>
      <c r="U146" s="8" cm="1">
        <f t="array" ref="U146">VLOOKUP($B146,NAS1352First[],COLUMN(NAS1352First[Alloy Steel Minimum Breaking Strength (lb)]),FALSE)</f>
        <v>78500</v>
      </c>
      <c r="V146" s="8" cm="1">
        <f t="array" ref="V146">VLOOKUP($B146,NAS1352First[],COLUMN(NAS1352First[Corrosion Resistant Steel Minimum Breaking Strength (lb)]),FALSE)</f>
        <v>32300</v>
      </c>
      <c r="W146" s="17" cm="1">
        <f t="array" ref="W146">VLOOKUP($B146,NAS1352First[],COLUMN(NAS1352First[Heat Resistant Steel Minimum Breaking Strength (lb)]),FALSE)</f>
        <v>73900</v>
      </c>
    </row>
    <row r="147" spans="1:23" x14ac:dyDescent="0.25">
      <c r="A147" s="15" t="s">
        <v>664</v>
      </c>
      <c r="B147" s="8" t="str">
        <f t="shared" si="4"/>
        <v>14</v>
      </c>
      <c r="C147" s="8">
        <f t="shared" si="5"/>
        <v>3.25</v>
      </c>
      <c r="D147" s="8" t="str" cm="1">
        <f t="array" ref="D147">VLOOKUP($B147,NAS1352First[],COLUMN(NAS1352First[Thread Size]),FALSE)</f>
        <v>7/8-9 UNC CLASS 3</v>
      </c>
      <c r="E147" s="8" cm="1">
        <f t="array" ref="E147">VLOOKUP($B147,NAS1352First[],COLUMN(NAS1352First[Body Diameter Max]),FALSE)</f>
        <v>0.875</v>
      </c>
      <c r="F147" s="8" cm="1">
        <f t="array" ref="F147">VLOOKUP($B147,NAS1352First[],COLUMN(NAS1352First[Body Diameter Max2]),FALSE)</f>
        <v>0.86470000000000002</v>
      </c>
      <c r="G147" s="8" cm="1">
        <f t="array" ref="G147">VLOOKUP($B147,NAS1352First[],COLUMN(NAS1352First[Head Diameter Max]),FALSE)</f>
        <v>1.3120000000000001</v>
      </c>
      <c r="H147" s="8" cm="1">
        <f t="array" ref="H147">VLOOKUP($B147,NAS1352First[],COLUMN(NAS1352First[Head Diameter Min]),FALSE)</f>
        <v>1.2929999999999999</v>
      </c>
      <c r="I147" s="8" cm="1">
        <f t="array" ref="I147">VLOOKUP($B147,NAS1352First[],COLUMN(NAS1352First[Head Height Max]),FALSE)</f>
        <v>0.875</v>
      </c>
      <c r="J147" s="8" cm="1">
        <f t="array" ref="J147">VLOOKUP($B147,NAS1352First[],COLUMN(NAS1352First[Head Height Min]),FALSE)</f>
        <v>0.86399999999999999</v>
      </c>
      <c r="K147" s="8" cm="1">
        <f t="array" ref="K147">VLOOKUP($B147,NAS1352First[],COLUMN(NAS1352First[Head Side Height Min]),FALSE)</f>
        <v>0.78700000000000003</v>
      </c>
      <c r="L147" s="8" cm="1">
        <f t="array" ref="L147">VLOOKUP($B147,NAS1352First[],COLUMN(NAS1352First[Nominal Socket Size]),FALSE)</f>
        <v>0.75</v>
      </c>
      <c r="M147" s="8" cm="1">
        <f t="array" ref="M147">VLOOKUP($B147,NAS1352First[],COLUMN(NAS1352First[Key Engagement Min]),FALSE)</f>
        <v>0.432</v>
      </c>
      <c r="N147" s="8" cm="1">
        <f t="array" ref="N147">VLOOKUP($B147,NAS1352First[],COLUMN(NAS1352First[Wall Thickness Min]),FALSE)</f>
        <v>0.33300000000000002</v>
      </c>
      <c r="O147" s="8" cm="1">
        <f t="array" ref="O147">VLOOKUP($B147,NAS1352First[],COLUMN(NAS1352First[Chamfer or Radius Max]),FALSE)</f>
        <v>1.4999999999999999E-2</v>
      </c>
      <c r="P147" s="8" cm="1">
        <f t="array" ref="P147">VLOOKUP($B147,NAS1352First[],COLUMN(NAS1352First[Minimum Basic Thread Length]),FALSE)</f>
        <v>2.25</v>
      </c>
      <c r="Q147" s="8" cm="1">
        <f t="array" ref="Q147">VLOOKUP($B147,NAS1352First[],COLUMN(NAS1352First[Drilled Hole Location Max]),FALSE)</f>
        <v>0.27300000000000002</v>
      </c>
      <c r="R147" s="8" cm="1">
        <f t="array" ref="R147">VLOOKUP($B147,NAS1352First[],COLUMN(NAS1352First[Drilled Hole Location Min]),FALSE)</f>
        <v>0.253</v>
      </c>
      <c r="S147" s="8" cm="1">
        <f t="array" ref="S147">VLOOKUP($B147,NAS1352First[],COLUMN(NAS1352First[Drilled Hole Diameter Max]),FALSE)</f>
        <v>9.7000000000000003E-2</v>
      </c>
      <c r="T147" s="8" cm="1">
        <f t="array" ref="T147">VLOOKUP($B147,NAS1352First[],COLUMN(NAS1352First[Drilled Hole Diameter Min]),FALSE)</f>
        <v>9.0999999999999998E-2</v>
      </c>
      <c r="U147" s="8" cm="1">
        <f t="array" ref="U147">VLOOKUP($B147,NAS1352First[],COLUMN(NAS1352First[Alloy Steel Minimum Breaking Strength (lb)]),FALSE)</f>
        <v>78500</v>
      </c>
      <c r="V147" s="8" cm="1">
        <f t="array" ref="V147">VLOOKUP($B147,NAS1352First[],COLUMN(NAS1352First[Corrosion Resistant Steel Minimum Breaking Strength (lb)]),FALSE)</f>
        <v>32300</v>
      </c>
      <c r="W147" s="17" cm="1">
        <f t="array" ref="W147">VLOOKUP($B147,NAS1352First[],COLUMN(NAS1352First[Heat Resistant Steel Minimum Breaking Strength (lb)]),FALSE)</f>
        <v>73900</v>
      </c>
    </row>
    <row r="148" spans="1:23" x14ac:dyDescent="0.25">
      <c r="A148" s="15" t="s">
        <v>665</v>
      </c>
      <c r="B148" s="8" t="str">
        <f t="shared" si="4"/>
        <v>14</v>
      </c>
      <c r="C148" s="8">
        <f t="shared" si="5"/>
        <v>3.5</v>
      </c>
      <c r="D148" s="8" t="str" cm="1">
        <f t="array" ref="D148">VLOOKUP($B148,NAS1352First[],COLUMN(NAS1352First[Thread Size]),FALSE)</f>
        <v>7/8-9 UNC CLASS 3</v>
      </c>
      <c r="E148" s="8" cm="1">
        <f t="array" ref="E148">VLOOKUP($B148,NAS1352First[],COLUMN(NAS1352First[Body Diameter Max]),FALSE)</f>
        <v>0.875</v>
      </c>
      <c r="F148" s="8" cm="1">
        <f t="array" ref="F148">VLOOKUP($B148,NAS1352First[],COLUMN(NAS1352First[Body Diameter Max2]),FALSE)</f>
        <v>0.86470000000000002</v>
      </c>
      <c r="G148" s="8" cm="1">
        <f t="array" ref="G148">VLOOKUP($B148,NAS1352First[],COLUMN(NAS1352First[Head Diameter Max]),FALSE)</f>
        <v>1.3120000000000001</v>
      </c>
      <c r="H148" s="8" cm="1">
        <f t="array" ref="H148">VLOOKUP($B148,NAS1352First[],COLUMN(NAS1352First[Head Diameter Min]),FALSE)</f>
        <v>1.2929999999999999</v>
      </c>
      <c r="I148" s="8" cm="1">
        <f t="array" ref="I148">VLOOKUP($B148,NAS1352First[],COLUMN(NAS1352First[Head Height Max]),FALSE)</f>
        <v>0.875</v>
      </c>
      <c r="J148" s="8" cm="1">
        <f t="array" ref="J148">VLOOKUP($B148,NAS1352First[],COLUMN(NAS1352First[Head Height Min]),FALSE)</f>
        <v>0.86399999999999999</v>
      </c>
      <c r="K148" s="8" cm="1">
        <f t="array" ref="K148">VLOOKUP($B148,NAS1352First[],COLUMN(NAS1352First[Head Side Height Min]),FALSE)</f>
        <v>0.78700000000000003</v>
      </c>
      <c r="L148" s="8" cm="1">
        <f t="array" ref="L148">VLOOKUP($B148,NAS1352First[],COLUMN(NAS1352First[Nominal Socket Size]),FALSE)</f>
        <v>0.75</v>
      </c>
      <c r="M148" s="8" cm="1">
        <f t="array" ref="M148">VLOOKUP($B148,NAS1352First[],COLUMN(NAS1352First[Key Engagement Min]),FALSE)</f>
        <v>0.432</v>
      </c>
      <c r="N148" s="8" cm="1">
        <f t="array" ref="N148">VLOOKUP($B148,NAS1352First[],COLUMN(NAS1352First[Wall Thickness Min]),FALSE)</f>
        <v>0.33300000000000002</v>
      </c>
      <c r="O148" s="8" cm="1">
        <f t="array" ref="O148">VLOOKUP($B148,NAS1352First[],COLUMN(NAS1352First[Chamfer or Radius Max]),FALSE)</f>
        <v>1.4999999999999999E-2</v>
      </c>
      <c r="P148" s="8" cm="1">
        <f t="array" ref="P148">VLOOKUP($B148,NAS1352First[],COLUMN(NAS1352First[Minimum Basic Thread Length]),FALSE)</f>
        <v>2.25</v>
      </c>
      <c r="Q148" s="8" cm="1">
        <f t="array" ref="Q148">VLOOKUP($B148,NAS1352First[],COLUMN(NAS1352First[Drilled Hole Location Max]),FALSE)</f>
        <v>0.27300000000000002</v>
      </c>
      <c r="R148" s="8" cm="1">
        <f t="array" ref="R148">VLOOKUP($B148,NAS1352First[],COLUMN(NAS1352First[Drilled Hole Location Min]),FALSE)</f>
        <v>0.253</v>
      </c>
      <c r="S148" s="8" cm="1">
        <f t="array" ref="S148">VLOOKUP($B148,NAS1352First[],COLUMN(NAS1352First[Drilled Hole Diameter Max]),FALSE)</f>
        <v>9.7000000000000003E-2</v>
      </c>
      <c r="T148" s="8" cm="1">
        <f t="array" ref="T148">VLOOKUP($B148,NAS1352First[],COLUMN(NAS1352First[Drilled Hole Diameter Min]),FALSE)</f>
        <v>9.0999999999999998E-2</v>
      </c>
      <c r="U148" s="8" cm="1">
        <f t="array" ref="U148">VLOOKUP($B148,NAS1352First[],COLUMN(NAS1352First[Alloy Steel Minimum Breaking Strength (lb)]),FALSE)</f>
        <v>78500</v>
      </c>
      <c r="V148" s="8" cm="1">
        <f t="array" ref="V148">VLOOKUP($B148,NAS1352First[],COLUMN(NAS1352First[Corrosion Resistant Steel Minimum Breaking Strength (lb)]),FALSE)</f>
        <v>32300</v>
      </c>
      <c r="W148" s="17" cm="1">
        <f t="array" ref="W148">VLOOKUP($B148,NAS1352First[],COLUMN(NAS1352First[Heat Resistant Steel Minimum Breaking Strength (lb)]),FALSE)</f>
        <v>73900</v>
      </c>
    </row>
    <row r="149" spans="1:23" x14ac:dyDescent="0.25">
      <c r="A149" s="15" t="s">
        <v>666</v>
      </c>
      <c r="B149" s="8" t="str">
        <f t="shared" si="4"/>
        <v>14</v>
      </c>
      <c r="C149" s="8">
        <f t="shared" si="5"/>
        <v>4</v>
      </c>
      <c r="D149" s="8" t="str" cm="1">
        <f t="array" ref="D149">VLOOKUP($B149,NAS1352First[],COLUMN(NAS1352First[Thread Size]),FALSE)</f>
        <v>7/8-9 UNC CLASS 3</v>
      </c>
      <c r="E149" s="8" cm="1">
        <f t="array" ref="E149">VLOOKUP($B149,NAS1352First[],COLUMN(NAS1352First[Body Diameter Max]),FALSE)</f>
        <v>0.875</v>
      </c>
      <c r="F149" s="8" cm="1">
        <f t="array" ref="F149">VLOOKUP($B149,NAS1352First[],COLUMN(NAS1352First[Body Diameter Max2]),FALSE)</f>
        <v>0.86470000000000002</v>
      </c>
      <c r="G149" s="8" cm="1">
        <f t="array" ref="G149">VLOOKUP($B149,NAS1352First[],COLUMN(NAS1352First[Head Diameter Max]),FALSE)</f>
        <v>1.3120000000000001</v>
      </c>
      <c r="H149" s="8" cm="1">
        <f t="array" ref="H149">VLOOKUP($B149,NAS1352First[],COLUMN(NAS1352First[Head Diameter Min]),FALSE)</f>
        <v>1.2929999999999999</v>
      </c>
      <c r="I149" s="8" cm="1">
        <f t="array" ref="I149">VLOOKUP($B149,NAS1352First[],COLUMN(NAS1352First[Head Height Max]),FALSE)</f>
        <v>0.875</v>
      </c>
      <c r="J149" s="8" cm="1">
        <f t="array" ref="J149">VLOOKUP($B149,NAS1352First[],COLUMN(NAS1352First[Head Height Min]),FALSE)</f>
        <v>0.86399999999999999</v>
      </c>
      <c r="K149" s="8" cm="1">
        <f t="array" ref="K149">VLOOKUP($B149,NAS1352First[],COLUMN(NAS1352First[Head Side Height Min]),FALSE)</f>
        <v>0.78700000000000003</v>
      </c>
      <c r="L149" s="8" cm="1">
        <f t="array" ref="L149">VLOOKUP($B149,NAS1352First[],COLUMN(NAS1352First[Nominal Socket Size]),FALSE)</f>
        <v>0.75</v>
      </c>
      <c r="M149" s="8" cm="1">
        <f t="array" ref="M149">VLOOKUP($B149,NAS1352First[],COLUMN(NAS1352First[Key Engagement Min]),FALSE)</f>
        <v>0.432</v>
      </c>
      <c r="N149" s="8" cm="1">
        <f t="array" ref="N149">VLOOKUP($B149,NAS1352First[],COLUMN(NAS1352First[Wall Thickness Min]),FALSE)</f>
        <v>0.33300000000000002</v>
      </c>
      <c r="O149" s="8" cm="1">
        <f t="array" ref="O149">VLOOKUP($B149,NAS1352First[],COLUMN(NAS1352First[Chamfer or Radius Max]),FALSE)</f>
        <v>1.4999999999999999E-2</v>
      </c>
      <c r="P149" s="8" cm="1">
        <f t="array" ref="P149">VLOOKUP($B149,NAS1352First[],COLUMN(NAS1352First[Minimum Basic Thread Length]),FALSE)</f>
        <v>2.25</v>
      </c>
      <c r="Q149" s="8" cm="1">
        <f t="array" ref="Q149">VLOOKUP($B149,NAS1352First[],COLUMN(NAS1352First[Drilled Hole Location Max]),FALSE)</f>
        <v>0.27300000000000002</v>
      </c>
      <c r="R149" s="8" cm="1">
        <f t="array" ref="R149">VLOOKUP($B149,NAS1352First[],COLUMN(NAS1352First[Drilled Hole Location Min]),FALSE)</f>
        <v>0.253</v>
      </c>
      <c r="S149" s="8" cm="1">
        <f t="array" ref="S149">VLOOKUP($B149,NAS1352First[],COLUMN(NAS1352First[Drilled Hole Diameter Max]),FALSE)</f>
        <v>9.7000000000000003E-2</v>
      </c>
      <c r="T149" s="8" cm="1">
        <f t="array" ref="T149">VLOOKUP($B149,NAS1352First[],COLUMN(NAS1352First[Drilled Hole Diameter Min]),FALSE)</f>
        <v>9.0999999999999998E-2</v>
      </c>
      <c r="U149" s="8" cm="1">
        <f t="array" ref="U149">VLOOKUP($B149,NAS1352First[],COLUMN(NAS1352First[Alloy Steel Minimum Breaking Strength (lb)]),FALSE)</f>
        <v>78500</v>
      </c>
      <c r="V149" s="8" cm="1">
        <f t="array" ref="V149">VLOOKUP($B149,NAS1352First[],COLUMN(NAS1352First[Corrosion Resistant Steel Minimum Breaking Strength (lb)]),FALSE)</f>
        <v>32300</v>
      </c>
      <c r="W149" s="17" cm="1">
        <f t="array" ref="W149">VLOOKUP($B149,NAS1352First[],COLUMN(NAS1352First[Heat Resistant Steel Minimum Breaking Strength (lb)]),FALSE)</f>
        <v>73900</v>
      </c>
    </row>
    <row r="150" spans="1:23" x14ac:dyDescent="0.25">
      <c r="A150" s="15" t="s">
        <v>667</v>
      </c>
      <c r="B150" s="8" t="str">
        <f t="shared" si="4"/>
        <v>14</v>
      </c>
      <c r="C150" s="8">
        <f t="shared" si="5"/>
        <v>4.5</v>
      </c>
      <c r="D150" s="8" t="str" cm="1">
        <f t="array" ref="D150">VLOOKUP($B150,NAS1352First[],COLUMN(NAS1352First[Thread Size]),FALSE)</f>
        <v>7/8-9 UNC CLASS 3</v>
      </c>
      <c r="E150" s="8" cm="1">
        <f t="array" ref="E150">VLOOKUP($B150,NAS1352First[],COLUMN(NAS1352First[Body Diameter Max]),FALSE)</f>
        <v>0.875</v>
      </c>
      <c r="F150" s="8" cm="1">
        <f t="array" ref="F150">VLOOKUP($B150,NAS1352First[],COLUMN(NAS1352First[Body Diameter Max2]),FALSE)</f>
        <v>0.86470000000000002</v>
      </c>
      <c r="G150" s="8" cm="1">
        <f t="array" ref="G150">VLOOKUP($B150,NAS1352First[],COLUMN(NAS1352First[Head Diameter Max]),FALSE)</f>
        <v>1.3120000000000001</v>
      </c>
      <c r="H150" s="8" cm="1">
        <f t="array" ref="H150">VLOOKUP($B150,NAS1352First[],COLUMN(NAS1352First[Head Diameter Min]),FALSE)</f>
        <v>1.2929999999999999</v>
      </c>
      <c r="I150" s="8" cm="1">
        <f t="array" ref="I150">VLOOKUP($B150,NAS1352First[],COLUMN(NAS1352First[Head Height Max]),FALSE)</f>
        <v>0.875</v>
      </c>
      <c r="J150" s="8" cm="1">
        <f t="array" ref="J150">VLOOKUP($B150,NAS1352First[],COLUMN(NAS1352First[Head Height Min]),FALSE)</f>
        <v>0.86399999999999999</v>
      </c>
      <c r="K150" s="8" cm="1">
        <f t="array" ref="K150">VLOOKUP($B150,NAS1352First[],COLUMN(NAS1352First[Head Side Height Min]),FALSE)</f>
        <v>0.78700000000000003</v>
      </c>
      <c r="L150" s="8" cm="1">
        <f t="array" ref="L150">VLOOKUP($B150,NAS1352First[],COLUMN(NAS1352First[Nominal Socket Size]),FALSE)</f>
        <v>0.75</v>
      </c>
      <c r="M150" s="8" cm="1">
        <f t="array" ref="M150">VLOOKUP($B150,NAS1352First[],COLUMN(NAS1352First[Key Engagement Min]),FALSE)</f>
        <v>0.432</v>
      </c>
      <c r="N150" s="8" cm="1">
        <f t="array" ref="N150">VLOOKUP($B150,NAS1352First[],COLUMN(NAS1352First[Wall Thickness Min]),FALSE)</f>
        <v>0.33300000000000002</v>
      </c>
      <c r="O150" s="8" cm="1">
        <f t="array" ref="O150">VLOOKUP($B150,NAS1352First[],COLUMN(NAS1352First[Chamfer or Radius Max]),FALSE)</f>
        <v>1.4999999999999999E-2</v>
      </c>
      <c r="P150" s="8" cm="1">
        <f t="array" ref="P150">VLOOKUP($B150,NAS1352First[],COLUMN(NAS1352First[Minimum Basic Thread Length]),FALSE)</f>
        <v>2.25</v>
      </c>
      <c r="Q150" s="8" cm="1">
        <f t="array" ref="Q150">VLOOKUP($B150,NAS1352First[],COLUMN(NAS1352First[Drilled Hole Location Max]),FALSE)</f>
        <v>0.27300000000000002</v>
      </c>
      <c r="R150" s="8" cm="1">
        <f t="array" ref="R150">VLOOKUP($B150,NAS1352First[],COLUMN(NAS1352First[Drilled Hole Location Min]),FALSE)</f>
        <v>0.253</v>
      </c>
      <c r="S150" s="8" cm="1">
        <f t="array" ref="S150">VLOOKUP($B150,NAS1352First[],COLUMN(NAS1352First[Drilled Hole Diameter Max]),FALSE)</f>
        <v>9.7000000000000003E-2</v>
      </c>
      <c r="T150" s="8" cm="1">
        <f t="array" ref="T150">VLOOKUP($B150,NAS1352First[],COLUMN(NAS1352First[Drilled Hole Diameter Min]),FALSE)</f>
        <v>9.0999999999999998E-2</v>
      </c>
      <c r="U150" s="8" cm="1">
        <f t="array" ref="U150">VLOOKUP($B150,NAS1352First[],COLUMN(NAS1352First[Alloy Steel Minimum Breaking Strength (lb)]),FALSE)</f>
        <v>78500</v>
      </c>
      <c r="V150" s="8" cm="1">
        <f t="array" ref="V150">VLOOKUP($B150,NAS1352First[],COLUMN(NAS1352First[Corrosion Resistant Steel Minimum Breaking Strength (lb)]),FALSE)</f>
        <v>32300</v>
      </c>
      <c r="W150" s="17" cm="1">
        <f t="array" ref="W150">VLOOKUP($B150,NAS1352First[],COLUMN(NAS1352First[Heat Resistant Steel Minimum Breaking Strength (lb)]),FALSE)</f>
        <v>73900</v>
      </c>
    </row>
    <row r="151" spans="1:23" x14ac:dyDescent="0.25">
      <c r="A151" s="15" t="s">
        <v>668</v>
      </c>
      <c r="B151" s="8" t="str">
        <f t="shared" si="4"/>
        <v>16</v>
      </c>
      <c r="C151" s="8">
        <f t="shared" ref="C151:C172" si="6">_xlfn.NUMBERVALUE(RIGHT(A151,LEN(A151)-SEARCH("~*",A151)))/16</f>
        <v>2.5</v>
      </c>
      <c r="D151" s="8" t="str" cm="1">
        <f t="array" ref="D151">VLOOKUP($B151,NAS1352First[],COLUMN(NAS1352First[Thread Size]),FALSE)</f>
        <v>1-8 UNC CLASS 3</v>
      </c>
      <c r="E151" s="8" cm="1">
        <f t="array" ref="E151">VLOOKUP($B151,NAS1352First[],COLUMN(NAS1352First[Body Diameter Max]),FALSE)</f>
        <v>1</v>
      </c>
      <c r="F151" s="8" cm="1">
        <f t="array" ref="F151">VLOOKUP($B151,NAS1352First[],COLUMN(NAS1352First[Body Diameter Max2]),FALSE)</f>
        <v>0.98860000000000003</v>
      </c>
      <c r="G151" s="8" cm="1">
        <f t="array" ref="G151">VLOOKUP($B151,NAS1352First[],COLUMN(NAS1352First[Head Diameter Max]),FALSE)</f>
        <v>1.5</v>
      </c>
      <c r="H151" s="8" cm="1">
        <f t="array" ref="H151">VLOOKUP($B151,NAS1352First[],COLUMN(NAS1352First[Head Diameter Min]),FALSE)</f>
        <v>1.4790000000000001</v>
      </c>
      <c r="I151" s="8" cm="1">
        <f t="array" ref="I151">VLOOKUP($B151,NAS1352First[],COLUMN(NAS1352First[Head Height Max]),FALSE)</f>
        <v>1</v>
      </c>
      <c r="J151" s="8" cm="1">
        <f t="array" ref="J151">VLOOKUP($B151,NAS1352First[],COLUMN(NAS1352First[Head Height Min]),FALSE)</f>
        <v>0.98799999999999999</v>
      </c>
      <c r="K151" s="8" cm="1">
        <f t="array" ref="K151">VLOOKUP($B151,NAS1352First[],COLUMN(NAS1352First[Head Side Height Min]),FALSE)</f>
        <v>0.9</v>
      </c>
      <c r="L151" s="8" cm="1">
        <f t="array" ref="L151">VLOOKUP($B151,NAS1352First[],COLUMN(NAS1352First[Nominal Socket Size]),FALSE)</f>
        <v>0.75</v>
      </c>
      <c r="M151" s="8" cm="1">
        <f t="array" ref="M151">VLOOKUP($B151,NAS1352First[],COLUMN(NAS1352First[Key Engagement Min]),FALSE)</f>
        <v>0.495</v>
      </c>
      <c r="N151" s="8" cm="1">
        <f t="array" ref="N151">VLOOKUP($B151,NAS1352First[],COLUMN(NAS1352First[Wall Thickness Min]),FALSE)</f>
        <v>0.38</v>
      </c>
      <c r="O151" s="8" cm="1">
        <f t="array" ref="O151">VLOOKUP($B151,NAS1352First[],COLUMN(NAS1352First[Chamfer or Radius Max]),FALSE)</f>
        <v>1.4999999999999999E-2</v>
      </c>
      <c r="P151" s="8" cm="1">
        <f t="array" ref="P151">VLOOKUP($B151,NAS1352First[],COLUMN(NAS1352First[Minimum Basic Thread Length]),FALSE)</f>
        <v>2.5</v>
      </c>
      <c r="Q151" s="8" cm="1">
        <f t="array" ref="Q151">VLOOKUP($B151,NAS1352First[],COLUMN(NAS1352First[Drilled Hole Location Max]),FALSE)</f>
        <v>0.31</v>
      </c>
      <c r="R151" s="8" cm="1">
        <f t="array" ref="R151">VLOOKUP($B151,NAS1352First[],COLUMN(NAS1352First[Drilled Hole Location Min]),FALSE)</f>
        <v>0.28999999999999998</v>
      </c>
      <c r="S151" s="8" cm="1">
        <f t="array" ref="S151">VLOOKUP($B151,NAS1352First[],COLUMN(NAS1352First[Drilled Hole Diameter Max]),FALSE)</f>
        <v>9.7000000000000003E-2</v>
      </c>
      <c r="T151" s="8" cm="1">
        <f t="array" ref="T151">VLOOKUP($B151,NAS1352First[],COLUMN(NAS1352First[Drilled Hole Diameter Min]),FALSE)</f>
        <v>9.0999999999999998E-2</v>
      </c>
      <c r="U151" s="8" cm="1">
        <f t="array" ref="U151">VLOOKUP($B151,NAS1352First[],COLUMN(NAS1352First[Alloy Steel Minimum Breaking Strength (lb)]),FALSE)</f>
        <v>103000</v>
      </c>
      <c r="V151" s="8" cm="1">
        <f t="array" ref="V151">VLOOKUP($B151,NAS1352First[],COLUMN(NAS1352First[Corrosion Resistant Steel Minimum Breaking Strength (lb)]),FALSE)</f>
        <v>42400</v>
      </c>
      <c r="W151" s="17" cm="1">
        <f t="array" ref="W151">VLOOKUP($B151,NAS1352First[],COLUMN(NAS1352First[Heat Resistant Steel Minimum Breaking Strength (lb)]),FALSE)</f>
        <v>96950</v>
      </c>
    </row>
    <row r="152" spans="1:23" x14ac:dyDescent="0.25">
      <c r="A152" s="15" t="s">
        <v>669</v>
      </c>
      <c r="B152" s="8" t="str">
        <f t="shared" ref="B152:B172" si="7">LEFT(RIGHT(A152,LEN(A152)-SEARCH("-",A152)),SEARCH("~*",RIGHT(A152,LEN(A152)-SEARCH("-",A152)))-1)</f>
        <v>16</v>
      </c>
      <c r="C152" s="8">
        <f t="shared" si="6"/>
        <v>2.75</v>
      </c>
      <c r="D152" s="8" t="str" cm="1">
        <f t="array" ref="D152">VLOOKUP($B152,NAS1352First[],COLUMN(NAS1352First[Thread Size]),FALSE)</f>
        <v>1-8 UNC CLASS 3</v>
      </c>
      <c r="E152" s="8" cm="1">
        <f t="array" ref="E152">VLOOKUP($B152,NAS1352First[],COLUMN(NAS1352First[Body Diameter Max]),FALSE)</f>
        <v>1</v>
      </c>
      <c r="F152" s="8" cm="1">
        <f t="array" ref="F152">VLOOKUP($B152,NAS1352First[],COLUMN(NAS1352First[Body Diameter Max2]),FALSE)</f>
        <v>0.98860000000000003</v>
      </c>
      <c r="G152" s="8" cm="1">
        <f t="array" ref="G152">VLOOKUP($B152,NAS1352First[],COLUMN(NAS1352First[Head Diameter Max]),FALSE)</f>
        <v>1.5</v>
      </c>
      <c r="H152" s="8" cm="1">
        <f t="array" ref="H152">VLOOKUP($B152,NAS1352First[],COLUMN(NAS1352First[Head Diameter Min]),FALSE)</f>
        <v>1.4790000000000001</v>
      </c>
      <c r="I152" s="8" cm="1">
        <f t="array" ref="I152">VLOOKUP($B152,NAS1352First[],COLUMN(NAS1352First[Head Height Max]),FALSE)</f>
        <v>1</v>
      </c>
      <c r="J152" s="8" cm="1">
        <f t="array" ref="J152">VLOOKUP($B152,NAS1352First[],COLUMN(NAS1352First[Head Height Min]),FALSE)</f>
        <v>0.98799999999999999</v>
      </c>
      <c r="K152" s="8" cm="1">
        <f t="array" ref="K152">VLOOKUP($B152,NAS1352First[],COLUMN(NAS1352First[Head Side Height Min]),FALSE)</f>
        <v>0.9</v>
      </c>
      <c r="L152" s="8" cm="1">
        <f t="array" ref="L152">VLOOKUP($B152,NAS1352First[],COLUMN(NAS1352First[Nominal Socket Size]),FALSE)</f>
        <v>0.75</v>
      </c>
      <c r="M152" s="8" cm="1">
        <f t="array" ref="M152">VLOOKUP($B152,NAS1352First[],COLUMN(NAS1352First[Key Engagement Min]),FALSE)</f>
        <v>0.495</v>
      </c>
      <c r="N152" s="8" cm="1">
        <f t="array" ref="N152">VLOOKUP($B152,NAS1352First[],COLUMN(NAS1352First[Wall Thickness Min]),FALSE)</f>
        <v>0.38</v>
      </c>
      <c r="O152" s="8" cm="1">
        <f t="array" ref="O152">VLOOKUP($B152,NAS1352First[],COLUMN(NAS1352First[Chamfer or Radius Max]),FALSE)</f>
        <v>1.4999999999999999E-2</v>
      </c>
      <c r="P152" s="8" cm="1">
        <f t="array" ref="P152">VLOOKUP($B152,NAS1352First[],COLUMN(NAS1352First[Minimum Basic Thread Length]),FALSE)</f>
        <v>2.5</v>
      </c>
      <c r="Q152" s="8" cm="1">
        <f t="array" ref="Q152">VLOOKUP($B152,NAS1352First[],COLUMN(NAS1352First[Drilled Hole Location Max]),FALSE)</f>
        <v>0.31</v>
      </c>
      <c r="R152" s="8" cm="1">
        <f t="array" ref="R152">VLOOKUP($B152,NAS1352First[],COLUMN(NAS1352First[Drilled Hole Location Min]),FALSE)</f>
        <v>0.28999999999999998</v>
      </c>
      <c r="S152" s="8" cm="1">
        <f t="array" ref="S152">VLOOKUP($B152,NAS1352First[],COLUMN(NAS1352First[Drilled Hole Diameter Max]),FALSE)</f>
        <v>9.7000000000000003E-2</v>
      </c>
      <c r="T152" s="8" cm="1">
        <f t="array" ref="T152">VLOOKUP($B152,NAS1352First[],COLUMN(NAS1352First[Drilled Hole Diameter Min]),FALSE)</f>
        <v>9.0999999999999998E-2</v>
      </c>
      <c r="U152" s="8" cm="1">
        <f t="array" ref="U152">VLOOKUP($B152,NAS1352First[],COLUMN(NAS1352First[Alloy Steel Minimum Breaking Strength (lb)]),FALSE)</f>
        <v>103000</v>
      </c>
      <c r="V152" s="8" cm="1">
        <f t="array" ref="V152">VLOOKUP($B152,NAS1352First[],COLUMN(NAS1352First[Corrosion Resistant Steel Minimum Breaking Strength (lb)]),FALSE)</f>
        <v>42400</v>
      </c>
      <c r="W152" s="17" cm="1">
        <f t="array" ref="W152">VLOOKUP($B152,NAS1352First[],COLUMN(NAS1352First[Heat Resistant Steel Minimum Breaking Strength (lb)]),FALSE)</f>
        <v>96950</v>
      </c>
    </row>
    <row r="153" spans="1:23" x14ac:dyDescent="0.25">
      <c r="A153" s="15" t="s">
        <v>670</v>
      </c>
      <c r="B153" s="8" t="str">
        <f t="shared" si="7"/>
        <v>16</v>
      </c>
      <c r="C153" s="8">
        <f t="shared" si="6"/>
        <v>3</v>
      </c>
      <c r="D153" s="8" t="str" cm="1">
        <f t="array" ref="D153">VLOOKUP($B153,NAS1352First[],COLUMN(NAS1352First[Thread Size]),FALSE)</f>
        <v>1-8 UNC CLASS 3</v>
      </c>
      <c r="E153" s="8" cm="1">
        <f t="array" ref="E153">VLOOKUP($B153,NAS1352First[],COLUMN(NAS1352First[Body Diameter Max]),FALSE)</f>
        <v>1</v>
      </c>
      <c r="F153" s="8" cm="1">
        <f t="array" ref="F153">VLOOKUP($B153,NAS1352First[],COLUMN(NAS1352First[Body Diameter Max2]),FALSE)</f>
        <v>0.98860000000000003</v>
      </c>
      <c r="G153" s="8" cm="1">
        <f t="array" ref="G153">VLOOKUP($B153,NAS1352First[],COLUMN(NAS1352First[Head Diameter Max]),FALSE)</f>
        <v>1.5</v>
      </c>
      <c r="H153" s="8" cm="1">
        <f t="array" ref="H153">VLOOKUP($B153,NAS1352First[],COLUMN(NAS1352First[Head Diameter Min]),FALSE)</f>
        <v>1.4790000000000001</v>
      </c>
      <c r="I153" s="8" cm="1">
        <f t="array" ref="I153">VLOOKUP($B153,NAS1352First[],COLUMN(NAS1352First[Head Height Max]),FALSE)</f>
        <v>1</v>
      </c>
      <c r="J153" s="8" cm="1">
        <f t="array" ref="J153">VLOOKUP($B153,NAS1352First[],COLUMN(NAS1352First[Head Height Min]),FALSE)</f>
        <v>0.98799999999999999</v>
      </c>
      <c r="K153" s="8" cm="1">
        <f t="array" ref="K153">VLOOKUP($B153,NAS1352First[],COLUMN(NAS1352First[Head Side Height Min]),FALSE)</f>
        <v>0.9</v>
      </c>
      <c r="L153" s="8" cm="1">
        <f t="array" ref="L153">VLOOKUP($B153,NAS1352First[],COLUMN(NAS1352First[Nominal Socket Size]),FALSE)</f>
        <v>0.75</v>
      </c>
      <c r="M153" s="8" cm="1">
        <f t="array" ref="M153">VLOOKUP($B153,NAS1352First[],COLUMN(NAS1352First[Key Engagement Min]),FALSE)</f>
        <v>0.495</v>
      </c>
      <c r="N153" s="8" cm="1">
        <f t="array" ref="N153">VLOOKUP($B153,NAS1352First[],COLUMN(NAS1352First[Wall Thickness Min]),FALSE)</f>
        <v>0.38</v>
      </c>
      <c r="O153" s="8" cm="1">
        <f t="array" ref="O153">VLOOKUP($B153,NAS1352First[],COLUMN(NAS1352First[Chamfer or Radius Max]),FALSE)</f>
        <v>1.4999999999999999E-2</v>
      </c>
      <c r="P153" s="8" cm="1">
        <f t="array" ref="P153">VLOOKUP($B153,NAS1352First[],COLUMN(NAS1352First[Minimum Basic Thread Length]),FALSE)</f>
        <v>2.5</v>
      </c>
      <c r="Q153" s="8" cm="1">
        <f t="array" ref="Q153">VLOOKUP($B153,NAS1352First[],COLUMN(NAS1352First[Drilled Hole Location Max]),FALSE)</f>
        <v>0.31</v>
      </c>
      <c r="R153" s="8" cm="1">
        <f t="array" ref="R153">VLOOKUP($B153,NAS1352First[],COLUMN(NAS1352First[Drilled Hole Location Min]),FALSE)</f>
        <v>0.28999999999999998</v>
      </c>
      <c r="S153" s="8" cm="1">
        <f t="array" ref="S153">VLOOKUP($B153,NAS1352First[],COLUMN(NAS1352First[Drilled Hole Diameter Max]),FALSE)</f>
        <v>9.7000000000000003E-2</v>
      </c>
      <c r="T153" s="8" cm="1">
        <f t="array" ref="T153">VLOOKUP($B153,NAS1352First[],COLUMN(NAS1352First[Drilled Hole Diameter Min]),FALSE)</f>
        <v>9.0999999999999998E-2</v>
      </c>
      <c r="U153" s="8" cm="1">
        <f t="array" ref="U153">VLOOKUP($B153,NAS1352First[],COLUMN(NAS1352First[Alloy Steel Minimum Breaking Strength (lb)]),FALSE)</f>
        <v>103000</v>
      </c>
      <c r="V153" s="8" cm="1">
        <f t="array" ref="V153">VLOOKUP($B153,NAS1352First[],COLUMN(NAS1352First[Corrosion Resistant Steel Minimum Breaking Strength (lb)]),FALSE)</f>
        <v>42400</v>
      </c>
      <c r="W153" s="17" cm="1">
        <f t="array" ref="W153">VLOOKUP($B153,NAS1352First[],COLUMN(NAS1352First[Heat Resistant Steel Minimum Breaking Strength (lb)]),FALSE)</f>
        <v>96950</v>
      </c>
    </row>
    <row r="154" spans="1:23" x14ac:dyDescent="0.25">
      <c r="A154" s="15" t="s">
        <v>671</v>
      </c>
      <c r="B154" s="8" t="str">
        <f t="shared" si="7"/>
        <v>16</v>
      </c>
      <c r="C154" s="8">
        <f t="shared" si="6"/>
        <v>3.25</v>
      </c>
      <c r="D154" s="8" t="str" cm="1">
        <f t="array" ref="D154">VLOOKUP($B154,NAS1352First[],COLUMN(NAS1352First[Thread Size]),FALSE)</f>
        <v>1-8 UNC CLASS 3</v>
      </c>
      <c r="E154" s="8" cm="1">
        <f t="array" ref="E154">VLOOKUP($B154,NAS1352First[],COLUMN(NAS1352First[Body Diameter Max]),FALSE)</f>
        <v>1</v>
      </c>
      <c r="F154" s="8" cm="1">
        <f t="array" ref="F154">VLOOKUP($B154,NAS1352First[],COLUMN(NAS1352First[Body Diameter Max2]),FALSE)</f>
        <v>0.98860000000000003</v>
      </c>
      <c r="G154" s="8" cm="1">
        <f t="array" ref="G154">VLOOKUP($B154,NAS1352First[],COLUMN(NAS1352First[Head Diameter Max]),FALSE)</f>
        <v>1.5</v>
      </c>
      <c r="H154" s="8" cm="1">
        <f t="array" ref="H154">VLOOKUP($B154,NAS1352First[],COLUMN(NAS1352First[Head Diameter Min]),FALSE)</f>
        <v>1.4790000000000001</v>
      </c>
      <c r="I154" s="8" cm="1">
        <f t="array" ref="I154">VLOOKUP($B154,NAS1352First[],COLUMN(NAS1352First[Head Height Max]),FALSE)</f>
        <v>1</v>
      </c>
      <c r="J154" s="8" cm="1">
        <f t="array" ref="J154">VLOOKUP($B154,NAS1352First[],COLUMN(NAS1352First[Head Height Min]),FALSE)</f>
        <v>0.98799999999999999</v>
      </c>
      <c r="K154" s="8" cm="1">
        <f t="array" ref="K154">VLOOKUP($B154,NAS1352First[],COLUMN(NAS1352First[Head Side Height Min]),FALSE)</f>
        <v>0.9</v>
      </c>
      <c r="L154" s="8" cm="1">
        <f t="array" ref="L154">VLOOKUP($B154,NAS1352First[],COLUMN(NAS1352First[Nominal Socket Size]),FALSE)</f>
        <v>0.75</v>
      </c>
      <c r="M154" s="8" cm="1">
        <f t="array" ref="M154">VLOOKUP($B154,NAS1352First[],COLUMN(NAS1352First[Key Engagement Min]),FALSE)</f>
        <v>0.495</v>
      </c>
      <c r="N154" s="8" cm="1">
        <f t="array" ref="N154">VLOOKUP($B154,NAS1352First[],COLUMN(NAS1352First[Wall Thickness Min]),FALSE)</f>
        <v>0.38</v>
      </c>
      <c r="O154" s="8" cm="1">
        <f t="array" ref="O154">VLOOKUP($B154,NAS1352First[],COLUMN(NAS1352First[Chamfer or Radius Max]),FALSE)</f>
        <v>1.4999999999999999E-2</v>
      </c>
      <c r="P154" s="8" cm="1">
        <f t="array" ref="P154">VLOOKUP($B154,NAS1352First[],COLUMN(NAS1352First[Minimum Basic Thread Length]),FALSE)</f>
        <v>2.5</v>
      </c>
      <c r="Q154" s="8" cm="1">
        <f t="array" ref="Q154">VLOOKUP($B154,NAS1352First[],COLUMN(NAS1352First[Drilled Hole Location Max]),FALSE)</f>
        <v>0.31</v>
      </c>
      <c r="R154" s="8" cm="1">
        <f t="array" ref="R154">VLOOKUP($B154,NAS1352First[],COLUMN(NAS1352First[Drilled Hole Location Min]),FALSE)</f>
        <v>0.28999999999999998</v>
      </c>
      <c r="S154" s="8" cm="1">
        <f t="array" ref="S154">VLOOKUP($B154,NAS1352First[],COLUMN(NAS1352First[Drilled Hole Diameter Max]),FALSE)</f>
        <v>9.7000000000000003E-2</v>
      </c>
      <c r="T154" s="8" cm="1">
        <f t="array" ref="T154">VLOOKUP($B154,NAS1352First[],COLUMN(NAS1352First[Drilled Hole Diameter Min]),FALSE)</f>
        <v>9.0999999999999998E-2</v>
      </c>
      <c r="U154" s="8" cm="1">
        <f t="array" ref="U154">VLOOKUP($B154,NAS1352First[],COLUMN(NAS1352First[Alloy Steel Minimum Breaking Strength (lb)]),FALSE)</f>
        <v>103000</v>
      </c>
      <c r="V154" s="8" cm="1">
        <f t="array" ref="V154">VLOOKUP($B154,NAS1352First[],COLUMN(NAS1352First[Corrosion Resistant Steel Minimum Breaking Strength (lb)]),FALSE)</f>
        <v>42400</v>
      </c>
      <c r="W154" s="17" cm="1">
        <f t="array" ref="W154">VLOOKUP($B154,NAS1352First[],COLUMN(NAS1352First[Heat Resistant Steel Minimum Breaking Strength (lb)]),FALSE)</f>
        <v>96950</v>
      </c>
    </row>
    <row r="155" spans="1:23" x14ac:dyDescent="0.25">
      <c r="A155" s="15" t="s">
        <v>672</v>
      </c>
      <c r="B155" s="8" t="str">
        <f t="shared" si="7"/>
        <v>16</v>
      </c>
      <c r="C155" s="8">
        <f t="shared" si="6"/>
        <v>3.5</v>
      </c>
      <c r="D155" s="8" t="str" cm="1">
        <f t="array" ref="D155">VLOOKUP($B155,NAS1352First[],COLUMN(NAS1352First[Thread Size]),FALSE)</f>
        <v>1-8 UNC CLASS 3</v>
      </c>
      <c r="E155" s="8" cm="1">
        <f t="array" ref="E155">VLOOKUP($B155,NAS1352First[],COLUMN(NAS1352First[Body Diameter Max]),FALSE)</f>
        <v>1</v>
      </c>
      <c r="F155" s="8" cm="1">
        <f t="array" ref="F155">VLOOKUP($B155,NAS1352First[],COLUMN(NAS1352First[Body Diameter Max2]),FALSE)</f>
        <v>0.98860000000000003</v>
      </c>
      <c r="G155" s="8" cm="1">
        <f t="array" ref="G155">VLOOKUP($B155,NAS1352First[],COLUMN(NAS1352First[Head Diameter Max]),FALSE)</f>
        <v>1.5</v>
      </c>
      <c r="H155" s="8" cm="1">
        <f t="array" ref="H155">VLOOKUP($B155,NAS1352First[],COLUMN(NAS1352First[Head Diameter Min]),FALSE)</f>
        <v>1.4790000000000001</v>
      </c>
      <c r="I155" s="8" cm="1">
        <f t="array" ref="I155">VLOOKUP($B155,NAS1352First[],COLUMN(NAS1352First[Head Height Max]),FALSE)</f>
        <v>1</v>
      </c>
      <c r="J155" s="8" cm="1">
        <f t="array" ref="J155">VLOOKUP($B155,NAS1352First[],COLUMN(NAS1352First[Head Height Min]),FALSE)</f>
        <v>0.98799999999999999</v>
      </c>
      <c r="K155" s="8" cm="1">
        <f t="array" ref="K155">VLOOKUP($B155,NAS1352First[],COLUMN(NAS1352First[Head Side Height Min]),FALSE)</f>
        <v>0.9</v>
      </c>
      <c r="L155" s="8" cm="1">
        <f t="array" ref="L155">VLOOKUP($B155,NAS1352First[],COLUMN(NAS1352First[Nominal Socket Size]),FALSE)</f>
        <v>0.75</v>
      </c>
      <c r="M155" s="8" cm="1">
        <f t="array" ref="M155">VLOOKUP($B155,NAS1352First[],COLUMN(NAS1352First[Key Engagement Min]),FALSE)</f>
        <v>0.495</v>
      </c>
      <c r="N155" s="8" cm="1">
        <f t="array" ref="N155">VLOOKUP($B155,NAS1352First[],COLUMN(NAS1352First[Wall Thickness Min]),FALSE)</f>
        <v>0.38</v>
      </c>
      <c r="O155" s="8" cm="1">
        <f t="array" ref="O155">VLOOKUP($B155,NAS1352First[],COLUMN(NAS1352First[Chamfer or Radius Max]),FALSE)</f>
        <v>1.4999999999999999E-2</v>
      </c>
      <c r="P155" s="8" cm="1">
        <f t="array" ref="P155">VLOOKUP($B155,NAS1352First[],COLUMN(NAS1352First[Minimum Basic Thread Length]),FALSE)</f>
        <v>2.5</v>
      </c>
      <c r="Q155" s="8" cm="1">
        <f t="array" ref="Q155">VLOOKUP($B155,NAS1352First[],COLUMN(NAS1352First[Drilled Hole Location Max]),FALSE)</f>
        <v>0.31</v>
      </c>
      <c r="R155" s="8" cm="1">
        <f t="array" ref="R155">VLOOKUP($B155,NAS1352First[],COLUMN(NAS1352First[Drilled Hole Location Min]),FALSE)</f>
        <v>0.28999999999999998</v>
      </c>
      <c r="S155" s="8" cm="1">
        <f t="array" ref="S155">VLOOKUP($B155,NAS1352First[],COLUMN(NAS1352First[Drilled Hole Diameter Max]),FALSE)</f>
        <v>9.7000000000000003E-2</v>
      </c>
      <c r="T155" s="8" cm="1">
        <f t="array" ref="T155">VLOOKUP($B155,NAS1352First[],COLUMN(NAS1352First[Drilled Hole Diameter Min]),FALSE)</f>
        <v>9.0999999999999998E-2</v>
      </c>
      <c r="U155" s="8" cm="1">
        <f t="array" ref="U155">VLOOKUP($B155,NAS1352First[],COLUMN(NAS1352First[Alloy Steel Minimum Breaking Strength (lb)]),FALSE)</f>
        <v>103000</v>
      </c>
      <c r="V155" s="8" cm="1">
        <f t="array" ref="V155">VLOOKUP($B155,NAS1352First[],COLUMN(NAS1352First[Corrosion Resistant Steel Minimum Breaking Strength (lb)]),FALSE)</f>
        <v>42400</v>
      </c>
      <c r="W155" s="17" cm="1">
        <f t="array" ref="W155">VLOOKUP($B155,NAS1352First[],COLUMN(NAS1352First[Heat Resistant Steel Minimum Breaking Strength (lb)]),FALSE)</f>
        <v>96950</v>
      </c>
    </row>
    <row r="156" spans="1:23" x14ac:dyDescent="0.25">
      <c r="A156" s="15" t="s">
        <v>673</v>
      </c>
      <c r="B156" s="8" t="str">
        <f t="shared" si="7"/>
        <v>16</v>
      </c>
      <c r="C156" s="8">
        <f t="shared" si="6"/>
        <v>4</v>
      </c>
      <c r="D156" s="8" t="str" cm="1">
        <f t="array" ref="D156">VLOOKUP($B156,NAS1352First[],COLUMN(NAS1352First[Thread Size]),FALSE)</f>
        <v>1-8 UNC CLASS 3</v>
      </c>
      <c r="E156" s="8" cm="1">
        <f t="array" ref="E156">VLOOKUP($B156,NAS1352First[],COLUMN(NAS1352First[Body Diameter Max]),FALSE)</f>
        <v>1</v>
      </c>
      <c r="F156" s="8" cm="1">
        <f t="array" ref="F156">VLOOKUP($B156,NAS1352First[],COLUMN(NAS1352First[Body Diameter Max2]),FALSE)</f>
        <v>0.98860000000000003</v>
      </c>
      <c r="G156" s="8" cm="1">
        <f t="array" ref="G156">VLOOKUP($B156,NAS1352First[],COLUMN(NAS1352First[Head Diameter Max]),FALSE)</f>
        <v>1.5</v>
      </c>
      <c r="H156" s="8" cm="1">
        <f t="array" ref="H156">VLOOKUP($B156,NAS1352First[],COLUMN(NAS1352First[Head Diameter Min]),FALSE)</f>
        <v>1.4790000000000001</v>
      </c>
      <c r="I156" s="8" cm="1">
        <f t="array" ref="I156">VLOOKUP($B156,NAS1352First[],COLUMN(NAS1352First[Head Height Max]),FALSE)</f>
        <v>1</v>
      </c>
      <c r="J156" s="8" cm="1">
        <f t="array" ref="J156">VLOOKUP($B156,NAS1352First[],COLUMN(NAS1352First[Head Height Min]),FALSE)</f>
        <v>0.98799999999999999</v>
      </c>
      <c r="K156" s="8" cm="1">
        <f t="array" ref="K156">VLOOKUP($B156,NAS1352First[],COLUMN(NAS1352First[Head Side Height Min]),FALSE)</f>
        <v>0.9</v>
      </c>
      <c r="L156" s="8" cm="1">
        <f t="array" ref="L156">VLOOKUP($B156,NAS1352First[],COLUMN(NAS1352First[Nominal Socket Size]),FALSE)</f>
        <v>0.75</v>
      </c>
      <c r="M156" s="8" cm="1">
        <f t="array" ref="M156">VLOOKUP($B156,NAS1352First[],COLUMN(NAS1352First[Key Engagement Min]),FALSE)</f>
        <v>0.495</v>
      </c>
      <c r="N156" s="8" cm="1">
        <f t="array" ref="N156">VLOOKUP($B156,NAS1352First[],COLUMN(NAS1352First[Wall Thickness Min]),FALSE)</f>
        <v>0.38</v>
      </c>
      <c r="O156" s="8" cm="1">
        <f t="array" ref="O156">VLOOKUP($B156,NAS1352First[],COLUMN(NAS1352First[Chamfer or Radius Max]),FALSE)</f>
        <v>1.4999999999999999E-2</v>
      </c>
      <c r="P156" s="8" cm="1">
        <f t="array" ref="P156">VLOOKUP($B156,NAS1352First[],COLUMN(NAS1352First[Minimum Basic Thread Length]),FALSE)</f>
        <v>2.5</v>
      </c>
      <c r="Q156" s="8" cm="1">
        <f t="array" ref="Q156">VLOOKUP($B156,NAS1352First[],COLUMN(NAS1352First[Drilled Hole Location Max]),FALSE)</f>
        <v>0.31</v>
      </c>
      <c r="R156" s="8" cm="1">
        <f t="array" ref="R156">VLOOKUP($B156,NAS1352First[],COLUMN(NAS1352First[Drilled Hole Location Min]),FALSE)</f>
        <v>0.28999999999999998</v>
      </c>
      <c r="S156" s="8" cm="1">
        <f t="array" ref="S156">VLOOKUP($B156,NAS1352First[],COLUMN(NAS1352First[Drilled Hole Diameter Max]),FALSE)</f>
        <v>9.7000000000000003E-2</v>
      </c>
      <c r="T156" s="8" cm="1">
        <f t="array" ref="T156">VLOOKUP($B156,NAS1352First[],COLUMN(NAS1352First[Drilled Hole Diameter Min]),FALSE)</f>
        <v>9.0999999999999998E-2</v>
      </c>
      <c r="U156" s="8" cm="1">
        <f t="array" ref="U156">VLOOKUP($B156,NAS1352First[],COLUMN(NAS1352First[Alloy Steel Minimum Breaking Strength (lb)]),FALSE)</f>
        <v>103000</v>
      </c>
      <c r="V156" s="8" cm="1">
        <f t="array" ref="V156">VLOOKUP($B156,NAS1352First[],COLUMN(NAS1352First[Corrosion Resistant Steel Minimum Breaking Strength (lb)]),FALSE)</f>
        <v>42400</v>
      </c>
      <c r="W156" s="17" cm="1">
        <f t="array" ref="W156">VLOOKUP($B156,NAS1352First[],COLUMN(NAS1352First[Heat Resistant Steel Minimum Breaking Strength (lb)]),FALSE)</f>
        <v>96950</v>
      </c>
    </row>
    <row r="157" spans="1:23" x14ac:dyDescent="0.25">
      <c r="A157" s="15" t="s">
        <v>674</v>
      </c>
      <c r="B157" s="8" t="str">
        <f t="shared" si="7"/>
        <v>16</v>
      </c>
      <c r="C157" s="8">
        <f t="shared" si="6"/>
        <v>4.5</v>
      </c>
      <c r="D157" s="8" t="str" cm="1">
        <f t="array" ref="D157">VLOOKUP($B157,NAS1352First[],COLUMN(NAS1352First[Thread Size]),FALSE)</f>
        <v>1-8 UNC CLASS 3</v>
      </c>
      <c r="E157" s="8" cm="1">
        <f t="array" ref="E157">VLOOKUP($B157,NAS1352First[],COLUMN(NAS1352First[Body Diameter Max]),FALSE)</f>
        <v>1</v>
      </c>
      <c r="F157" s="8" cm="1">
        <f t="array" ref="F157">VLOOKUP($B157,NAS1352First[],COLUMN(NAS1352First[Body Diameter Max2]),FALSE)</f>
        <v>0.98860000000000003</v>
      </c>
      <c r="G157" s="8" cm="1">
        <f t="array" ref="G157">VLOOKUP($B157,NAS1352First[],COLUMN(NAS1352First[Head Diameter Max]),FALSE)</f>
        <v>1.5</v>
      </c>
      <c r="H157" s="8" cm="1">
        <f t="array" ref="H157">VLOOKUP($B157,NAS1352First[],COLUMN(NAS1352First[Head Diameter Min]),FALSE)</f>
        <v>1.4790000000000001</v>
      </c>
      <c r="I157" s="8" cm="1">
        <f t="array" ref="I157">VLOOKUP($B157,NAS1352First[],COLUMN(NAS1352First[Head Height Max]),FALSE)</f>
        <v>1</v>
      </c>
      <c r="J157" s="8" cm="1">
        <f t="array" ref="J157">VLOOKUP($B157,NAS1352First[],COLUMN(NAS1352First[Head Height Min]),FALSE)</f>
        <v>0.98799999999999999</v>
      </c>
      <c r="K157" s="8" cm="1">
        <f t="array" ref="K157">VLOOKUP($B157,NAS1352First[],COLUMN(NAS1352First[Head Side Height Min]),FALSE)</f>
        <v>0.9</v>
      </c>
      <c r="L157" s="8" cm="1">
        <f t="array" ref="L157">VLOOKUP($B157,NAS1352First[],COLUMN(NAS1352First[Nominal Socket Size]),FALSE)</f>
        <v>0.75</v>
      </c>
      <c r="M157" s="8" cm="1">
        <f t="array" ref="M157">VLOOKUP($B157,NAS1352First[],COLUMN(NAS1352First[Key Engagement Min]),FALSE)</f>
        <v>0.495</v>
      </c>
      <c r="N157" s="8" cm="1">
        <f t="array" ref="N157">VLOOKUP($B157,NAS1352First[],COLUMN(NAS1352First[Wall Thickness Min]),FALSE)</f>
        <v>0.38</v>
      </c>
      <c r="O157" s="8" cm="1">
        <f t="array" ref="O157">VLOOKUP($B157,NAS1352First[],COLUMN(NAS1352First[Chamfer or Radius Max]),FALSE)</f>
        <v>1.4999999999999999E-2</v>
      </c>
      <c r="P157" s="8" cm="1">
        <f t="array" ref="P157">VLOOKUP($B157,NAS1352First[],COLUMN(NAS1352First[Minimum Basic Thread Length]),FALSE)</f>
        <v>2.5</v>
      </c>
      <c r="Q157" s="8" cm="1">
        <f t="array" ref="Q157">VLOOKUP($B157,NAS1352First[],COLUMN(NAS1352First[Drilled Hole Location Max]),FALSE)</f>
        <v>0.31</v>
      </c>
      <c r="R157" s="8" cm="1">
        <f t="array" ref="R157">VLOOKUP($B157,NAS1352First[],COLUMN(NAS1352First[Drilled Hole Location Min]),FALSE)</f>
        <v>0.28999999999999998</v>
      </c>
      <c r="S157" s="8" cm="1">
        <f t="array" ref="S157">VLOOKUP($B157,NAS1352First[],COLUMN(NAS1352First[Drilled Hole Diameter Max]),FALSE)</f>
        <v>9.7000000000000003E-2</v>
      </c>
      <c r="T157" s="8" cm="1">
        <f t="array" ref="T157">VLOOKUP($B157,NAS1352First[],COLUMN(NAS1352First[Drilled Hole Diameter Min]),FALSE)</f>
        <v>9.0999999999999998E-2</v>
      </c>
      <c r="U157" s="8" cm="1">
        <f t="array" ref="U157">VLOOKUP($B157,NAS1352First[],COLUMN(NAS1352First[Alloy Steel Minimum Breaking Strength (lb)]),FALSE)</f>
        <v>103000</v>
      </c>
      <c r="V157" s="8" cm="1">
        <f t="array" ref="V157">VLOOKUP($B157,NAS1352First[],COLUMN(NAS1352First[Corrosion Resistant Steel Minimum Breaking Strength (lb)]),FALSE)</f>
        <v>42400</v>
      </c>
      <c r="W157" s="17" cm="1">
        <f t="array" ref="W157">VLOOKUP($B157,NAS1352First[],COLUMN(NAS1352First[Heat Resistant Steel Minimum Breaking Strength (lb)]),FALSE)</f>
        <v>96950</v>
      </c>
    </row>
    <row r="158" spans="1:23" x14ac:dyDescent="0.25">
      <c r="A158" s="15" t="s">
        <v>675</v>
      </c>
      <c r="B158" s="8" t="str">
        <f t="shared" si="7"/>
        <v>16</v>
      </c>
      <c r="C158" s="8">
        <f t="shared" si="6"/>
        <v>5</v>
      </c>
      <c r="D158" s="8" t="str" cm="1">
        <f t="array" ref="D158">VLOOKUP($B158,NAS1352First[],COLUMN(NAS1352First[Thread Size]),FALSE)</f>
        <v>1-8 UNC CLASS 3</v>
      </c>
      <c r="E158" s="8" cm="1">
        <f t="array" ref="E158">VLOOKUP($B158,NAS1352First[],COLUMN(NAS1352First[Body Diameter Max]),FALSE)</f>
        <v>1</v>
      </c>
      <c r="F158" s="8" cm="1">
        <f t="array" ref="F158">VLOOKUP($B158,NAS1352First[],COLUMN(NAS1352First[Body Diameter Max2]),FALSE)</f>
        <v>0.98860000000000003</v>
      </c>
      <c r="G158" s="8" cm="1">
        <f t="array" ref="G158">VLOOKUP($B158,NAS1352First[],COLUMN(NAS1352First[Head Diameter Max]),FALSE)</f>
        <v>1.5</v>
      </c>
      <c r="H158" s="8" cm="1">
        <f t="array" ref="H158">VLOOKUP($B158,NAS1352First[],COLUMN(NAS1352First[Head Diameter Min]),FALSE)</f>
        <v>1.4790000000000001</v>
      </c>
      <c r="I158" s="8" cm="1">
        <f t="array" ref="I158">VLOOKUP($B158,NAS1352First[],COLUMN(NAS1352First[Head Height Max]),FALSE)</f>
        <v>1</v>
      </c>
      <c r="J158" s="8" cm="1">
        <f t="array" ref="J158">VLOOKUP($B158,NAS1352First[],COLUMN(NAS1352First[Head Height Min]),FALSE)</f>
        <v>0.98799999999999999</v>
      </c>
      <c r="K158" s="8" cm="1">
        <f t="array" ref="K158">VLOOKUP($B158,NAS1352First[],COLUMN(NAS1352First[Head Side Height Min]),FALSE)</f>
        <v>0.9</v>
      </c>
      <c r="L158" s="8" cm="1">
        <f t="array" ref="L158">VLOOKUP($B158,NAS1352First[],COLUMN(NAS1352First[Nominal Socket Size]),FALSE)</f>
        <v>0.75</v>
      </c>
      <c r="M158" s="8" cm="1">
        <f t="array" ref="M158">VLOOKUP($B158,NAS1352First[],COLUMN(NAS1352First[Key Engagement Min]),FALSE)</f>
        <v>0.495</v>
      </c>
      <c r="N158" s="8" cm="1">
        <f t="array" ref="N158">VLOOKUP($B158,NAS1352First[],COLUMN(NAS1352First[Wall Thickness Min]),FALSE)</f>
        <v>0.38</v>
      </c>
      <c r="O158" s="8" cm="1">
        <f t="array" ref="O158">VLOOKUP($B158,NAS1352First[],COLUMN(NAS1352First[Chamfer or Radius Max]),FALSE)</f>
        <v>1.4999999999999999E-2</v>
      </c>
      <c r="P158" s="8" cm="1">
        <f t="array" ref="P158">VLOOKUP($B158,NAS1352First[],COLUMN(NAS1352First[Minimum Basic Thread Length]),FALSE)</f>
        <v>2.5</v>
      </c>
      <c r="Q158" s="8" cm="1">
        <f t="array" ref="Q158">VLOOKUP($B158,NAS1352First[],COLUMN(NAS1352First[Drilled Hole Location Max]),FALSE)</f>
        <v>0.31</v>
      </c>
      <c r="R158" s="8" cm="1">
        <f t="array" ref="R158">VLOOKUP($B158,NAS1352First[],COLUMN(NAS1352First[Drilled Hole Location Min]),FALSE)</f>
        <v>0.28999999999999998</v>
      </c>
      <c r="S158" s="8" cm="1">
        <f t="array" ref="S158">VLOOKUP($B158,NAS1352First[],COLUMN(NAS1352First[Drilled Hole Diameter Max]),FALSE)</f>
        <v>9.7000000000000003E-2</v>
      </c>
      <c r="T158" s="8" cm="1">
        <f t="array" ref="T158">VLOOKUP($B158,NAS1352First[],COLUMN(NAS1352First[Drilled Hole Diameter Min]),FALSE)</f>
        <v>9.0999999999999998E-2</v>
      </c>
      <c r="U158" s="8" cm="1">
        <f t="array" ref="U158">VLOOKUP($B158,NAS1352First[],COLUMN(NAS1352First[Alloy Steel Minimum Breaking Strength (lb)]),FALSE)</f>
        <v>103000</v>
      </c>
      <c r="V158" s="8" cm="1">
        <f t="array" ref="V158">VLOOKUP($B158,NAS1352First[],COLUMN(NAS1352First[Corrosion Resistant Steel Minimum Breaking Strength (lb)]),FALSE)</f>
        <v>42400</v>
      </c>
      <c r="W158" s="17" cm="1">
        <f t="array" ref="W158">VLOOKUP($B158,NAS1352First[],COLUMN(NAS1352First[Heat Resistant Steel Minimum Breaking Strength (lb)]),FALSE)</f>
        <v>96950</v>
      </c>
    </row>
    <row r="159" spans="1:23" x14ac:dyDescent="0.25">
      <c r="A159" s="15" t="s">
        <v>676</v>
      </c>
      <c r="B159" s="8" t="str">
        <f t="shared" si="7"/>
        <v>20</v>
      </c>
      <c r="C159" s="8">
        <f t="shared" si="6"/>
        <v>3</v>
      </c>
      <c r="D159" s="8" t="str" cm="1">
        <f t="array" ref="D159">VLOOKUP($B159,NAS1352First[],COLUMN(NAS1352First[Thread Size]),FALSE)</f>
        <v>1 1/4 UNC CLASS 3</v>
      </c>
      <c r="E159" s="8" cm="1">
        <f t="array" ref="E159">VLOOKUP($B159,NAS1352First[],COLUMN(NAS1352First[Body Diameter Max]),FALSE)</f>
        <v>1.25</v>
      </c>
      <c r="F159" s="8" cm="1">
        <f t="array" ref="F159">VLOOKUP($B159,NAS1352First[],COLUMN(NAS1352First[Body Diameter Max2]),FALSE)</f>
        <v>1.2336</v>
      </c>
      <c r="G159" s="8" cm="1">
        <f t="array" ref="G159">VLOOKUP($B159,NAS1352First[],COLUMN(NAS1352First[Head Diameter Max]),FALSE)</f>
        <v>1.875</v>
      </c>
      <c r="H159" s="8" cm="1">
        <f t="array" ref="H159">VLOOKUP($B159,NAS1352First[],COLUMN(NAS1352First[Head Diameter Min]),FALSE)</f>
        <v>1.8520000000000001</v>
      </c>
      <c r="I159" s="8" cm="1">
        <f t="array" ref="I159">VLOOKUP($B159,NAS1352First[],COLUMN(NAS1352First[Head Height Max]),FALSE)</f>
        <v>1.25</v>
      </c>
      <c r="J159" s="8" cm="1">
        <f t="array" ref="J159">VLOOKUP($B159,NAS1352First[],COLUMN(NAS1352First[Head Height Min]),FALSE)</f>
        <v>1.236</v>
      </c>
      <c r="K159" s="8" cm="1">
        <f t="array" ref="K159">VLOOKUP($B159,NAS1352First[],COLUMN(NAS1352First[Head Side Height Min]),FALSE)</f>
        <v>1.125</v>
      </c>
      <c r="L159" s="8" cm="1">
        <f t="array" ref="L159">VLOOKUP($B159,NAS1352First[],COLUMN(NAS1352First[Nominal Socket Size]),FALSE)</f>
        <v>0.875</v>
      </c>
      <c r="M159" s="8" cm="1">
        <f t="array" ref="M159">VLOOKUP($B159,NAS1352First[],COLUMN(NAS1352First[Key Engagement Min]),FALSE)</f>
        <v>0.62</v>
      </c>
      <c r="N159" s="8" cm="1">
        <f t="array" ref="N159">VLOOKUP($B159,NAS1352First[],COLUMN(NAS1352First[Wall Thickness Min]),FALSE)</f>
        <v>0.47499999999999998</v>
      </c>
      <c r="O159" s="8" cm="1">
        <f t="array" ref="O159">VLOOKUP($B159,NAS1352First[],COLUMN(NAS1352First[Chamfer or Radius Max]),FALSE)</f>
        <v>1.4999999999999999E-2</v>
      </c>
      <c r="P159" s="8" cm="1">
        <f t="array" ref="P159">VLOOKUP($B159,NAS1352First[],COLUMN(NAS1352First[Minimum Basic Thread Length]),FALSE)</f>
        <v>3.125</v>
      </c>
      <c r="Q159" s="8" cm="1">
        <f t="array" ref="Q159">VLOOKUP($B159,NAS1352First[],COLUMN(NAS1352First[Drilled Hole Location Max]),FALSE)</f>
        <v>0</v>
      </c>
      <c r="R159" s="8" cm="1">
        <f t="array" ref="R159">VLOOKUP($B159,NAS1352First[],COLUMN(NAS1352First[Drilled Hole Location Min]),FALSE)</f>
        <v>0</v>
      </c>
      <c r="S159" s="8" cm="1">
        <f t="array" ref="S159">VLOOKUP($B159,NAS1352First[],COLUMN(NAS1352First[Drilled Hole Diameter Max]),FALSE)</f>
        <v>0</v>
      </c>
      <c r="T159" s="8" cm="1">
        <f t="array" ref="T159">VLOOKUP($B159,NAS1352First[],COLUMN(NAS1352First[Drilled Hole Diameter Min]),FALSE)</f>
        <v>0</v>
      </c>
      <c r="U159" s="8" cm="1">
        <f t="array" ref="U159">VLOOKUP($B159,NAS1352First[],COLUMN(NAS1352First[Alloy Steel Minimum Breaking Strength (lb)]),FALSE)</f>
        <v>165000</v>
      </c>
      <c r="V159" s="8" cm="1">
        <f t="array" ref="V159">VLOOKUP($B159,NAS1352First[],COLUMN(NAS1352First[Corrosion Resistant Steel Minimum Breaking Strength (lb)]),FALSE)</f>
        <v>67800</v>
      </c>
      <c r="W159" s="17" cm="1">
        <f t="array" ref="W159">VLOOKUP($B159,NAS1352First[],COLUMN(NAS1352First[Heat Resistant Steel Minimum Breaking Strength (lb)]),FALSE)</f>
        <v>155100</v>
      </c>
    </row>
    <row r="160" spans="1:23" x14ac:dyDescent="0.25">
      <c r="A160" s="15" t="s">
        <v>677</v>
      </c>
      <c r="B160" s="8" t="str">
        <f t="shared" si="7"/>
        <v>20</v>
      </c>
      <c r="C160" s="8">
        <f t="shared" si="6"/>
        <v>3.25</v>
      </c>
      <c r="D160" s="8" t="str" cm="1">
        <f t="array" ref="D160">VLOOKUP($B160,NAS1352First[],COLUMN(NAS1352First[Thread Size]),FALSE)</f>
        <v>1 1/4 UNC CLASS 3</v>
      </c>
      <c r="E160" s="8" cm="1">
        <f t="array" ref="E160">VLOOKUP($B160,NAS1352First[],COLUMN(NAS1352First[Body Diameter Max]),FALSE)</f>
        <v>1.25</v>
      </c>
      <c r="F160" s="8" cm="1">
        <f t="array" ref="F160">VLOOKUP($B160,NAS1352First[],COLUMN(NAS1352First[Body Diameter Max2]),FALSE)</f>
        <v>1.2336</v>
      </c>
      <c r="G160" s="8" cm="1">
        <f t="array" ref="G160">VLOOKUP($B160,NAS1352First[],COLUMN(NAS1352First[Head Diameter Max]),FALSE)</f>
        <v>1.875</v>
      </c>
      <c r="H160" s="8" cm="1">
        <f t="array" ref="H160">VLOOKUP($B160,NAS1352First[],COLUMN(NAS1352First[Head Diameter Min]),FALSE)</f>
        <v>1.8520000000000001</v>
      </c>
      <c r="I160" s="8" cm="1">
        <f t="array" ref="I160">VLOOKUP($B160,NAS1352First[],COLUMN(NAS1352First[Head Height Max]),FALSE)</f>
        <v>1.25</v>
      </c>
      <c r="J160" s="8" cm="1">
        <f t="array" ref="J160">VLOOKUP($B160,NAS1352First[],COLUMN(NAS1352First[Head Height Min]),FALSE)</f>
        <v>1.236</v>
      </c>
      <c r="K160" s="8" cm="1">
        <f t="array" ref="K160">VLOOKUP($B160,NAS1352First[],COLUMN(NAS1352First[Head Side Height Min]),FALSE)</f>
        <v>1.125</v>
      </c>
      <c r="L160" s="8" cm="1">
        <f t="array" ref="L160">VLOOKUP($B160,NAS1352First[],COLUMN(NAS1352First[Nominal Socket Size]),FALSE)</f>
        <v>0.875</v>
      </c>
      <c r="M160" s="8" cm="1">
        <f t="array" ref="M160">VLOOKUP($B160,NAS1352First[],COLUMN(NAS1352First[Key Engagement Min]),FALSE)</f>
        <v>0.62</v>
      </c>
      <c r="N160" s="8" cm="1">
        <f t="array" ref="N160">VLOOKUP($B160,NAS1352First[],COLUMN(NAS1352First[Wall Thickness Min]),FALSE)</f>
        <v>0.47499999999999998</v>
      </c>
      <c r="O160" s="8" cm="1">
        <f t="array" ref="O160">VLOOKUP($B160,NAS1352First[],COLUMN(NAS1352First[Chamfer or Radius Max]),FALSE)</f>
        <v>1.4999999999999999E-2</v>
      </c>
      <c r="P160" s="8" cm="1">
        <f t="array" ref="P160">VLOOKUP($B160,NAS1352First[],COLUMN(NAS1352First[Minimum Basic Thread Length]),FALSE)</f>
        <v>3.125</v>
      </c>
      <c r="Q160" s="8" cm="1">
        <f t="array" ref="Q160">VLOOKUP($B160,NAS1352First[],COLUMN(NAS1352First[Drilled Hole Location Max]),FALSE)</f>
        <v>0</v>
      </c>
      <c r="R160" s="8" cm="1">
        <f t="array" ref="R160">VLOOKUP($B160,NAS1352First[],COLUMN(NAS1352First[Drilled Hole Location Min]),FALSE)</f>
        <v>0</v>
      </c>
      <c r="S160" s="8" cm="1">
        <f t="array" ref="S160">VLOOKUP($B160,NAS1352First[],COLUMN(NAS1352First[Drilled Hole Diameter Max]),FALSE)</f>
        <v>0</v>
      </c>
      <c r="T160" s="8" cm="1">
        <f t="array" ref="T160">VLOOKUP($B160,NAS1352First[],COLUMN(NAS1352First[Drilled Hole Diameter Min]),FALSE)</f>
        <v>0</v>
      </c>
      <c r="U160" s="8" cm="1">
        <f t="array" ref="U160">VLOOKUP($B160,NAS1352First[],COLUMN(NAS1352First[Alloy Steel Minimum Breaking Strength (lb)]),FALSE)</f>
        <v>165000</v>
      </c>
      <c r="V160" s="8" cm="1">
        <f t="array" ref="V160">VLOOKUP($B160,NAS1352First[],COLUMN(NAS1352First[Corrosion Resistant Steel Minimum Breaking Strength (lb)]),FALSE)</f>
        <v>67800</v>
      </c>
      <c r="W160" s="17" cm="1">
        <f t="array" ref="W160">VLOOKUP($B160,NAS1352First[],COLUMN(NAS1352First[Heat Resistant Steel Minimum Breaking Strength (lb)]),FALSE)</f>
        <v>155100</v>
      </c>
    </row>
    <row r="161" spans="1:23" x14ac:dyDescent="0.25">
      <c r="A161" s="15" t="s">
        <v>678</v>
      </c>
      <c r="B161" s="8" t="str">
        <f t="shared" si="7"/>
        <v>20</v>
      </c>
      <c r="C161" s="8">
        <f t="shared" si="6"/>
        <v>3.5</v>
      </c>
      <c r="D161" s="8" t="str" cm="1">
        <f t="array" ref="D161">VLOOKUP($B161,NAS1352First[],COLUMN(NAS1352First[Thread Size]),FALSE)</f>
        <v>1 1/4 UNC CLASS 3</v>
      </c>
      <c r="E161" s="8" cm="1">
        <f t="array" ref="E161">VLOOKUP($B161,NAS1352First[],COLUMN(NAS1352First[Body Diameter Max]),FALSE)</f>
        <v>1.25</v>
      </c>
      <c r="F161" s="8" cm="1">
        <f t="array" ref="F161">VLOOKUP($B161,NAS1352First[],COLUMN(NAS1352First[Body Diameter Max2]),FALSE)</f>
        <v>1.2336</v>
      </c>
      <c r="G161" s="8" cm="1">
        <f t="array" ref="G161">VLOOKUP($B161,NAS1352First[],COLUMN(NAS1352First[Head Diameter Max]),FALSE)</f>
        <v>1.875</v>
      </c>
      <c r="H161" s="8" cm="1">
        <f t="array" ref="H161">VLOOKUP($B161,NAS1352First[],COLUMN(NAS1352First[Head Diameter Min]),FALSE)</f>
        <v>1.8520000000000001</v>
      </c>
      <c r="I161" s="8" cm="1">
        <f t="array" ref="I161">VLOOKUP($B161,NAS1352First[],COLUMN(NAS1352First[Head Height Max]),FALSE)</f>
        <v>1.25</v>
      </c>
      <c r="J161" s="8" cm="1">
        <f t="array" ref="J161">VLOOKUP($B161,NAS1352First[],COLUMN(NAS1352First[Head Height Min]),FALSE)</f>
        <v>1.236</v>
      </c>
      <c r="K161" s="8" cm="1">
        <f t="array" ref="K161">VLOOKUP($B161,NAS1352First[],COLUMN(NAS1352First[Head Side Height Min]),FALSE)</f>
        <v>1.125</v>
      </c>
      <c r="L161" s="8" cm="1">
        <f t="array" ref="L161">VLOOKUP($B161,NAS1352First[],COLUMN(NAS1352First[Nominal Socket Size]),FALSE)</f>
        <v>0.875</v>
      </c>
      <c r="M161" s="8" cm="1">
        <f t="array" ref="M161">VLOOKUP($B161,NAS1352First[],COLUMN(NAS1352First[Key Engagement Min]),FALSE)</f>
        <v>0.62</v>
      </c>
      <c r="N161" s="8" cm="1">
        <f t="array" ref="N161">VLOOKUP($B161,NAS1352First[],COLUMN(NAS1352First[Wall Thickness Min]),FALSE)</f>
        <v>0.47499999999999998</v>
      </c>
      <c r="O161" s="8" cm="1">
        <f t="array" ref="O161">VLOOKUP($B161,NAS1352First[],COLUMN(NAS1352First[Chamfer or Radius Max]),FALSE)</f>
        <v>1.4999999999999999E-2</v>
      </c>
      <c r="P161" s="8" cm="1">
        <f t="array" ref="P161">VLOOKUP($B161,NAS1352First[],COLUMN(NAS1352First[Minimum Basic Thread Length]),FALSE)</f>
        <v>3.125</v>
      </c>
      <c r="Q161" s="8" cm="1">
        <f t="array" ref="Q161">VLOOKUP($B161,NAS1352First[],COLUMN(NAS1352First[Drilled Hole Location Max]),FALSE)</f>
        <v>0</v>
      </c>
      <c r="R161" s="8" cm="1">
        <f t="array" ref="R161">VLOOKUP($B161,NAS1352First[],COLUMN(NAS1352First[Drilled Hole Location Min]),FALSE)</f>
        <v>0</v>
      </c>
      <c r="S161" s="8" cm="1">
        <f t="array" ref="S161">VLOOKUP($B161,NAS1352First[],COLUMN(NAS1352First[Drilled Hole Diameter Max]),FALSE)</f>
        <v>0</v>
      </c>
      <c r="T161" s="8" cm="1">
        <f t="array" ref="T161">VLOOKUP($B161,NAS1352First[],COLUMN(NAS1352First[Drilled Hole Diameter Min]),FALSE)</f>
        <v>0</v>
      </c>
      <c r="U161" s="8" cm="1">
        <f t="array" ref="U161">VLOOKUP($B161,NAS1352First[],COLUMN(NAS1352First[Alloy Steel Minimum Breaking Strength (lb)]),FALSE)</f>
        <v>165000</v>
      </c>
      <c r="V161" s="8" cm="1">
        <f t="array" ref="V161">VLOOKUP($B161,NAS1352First[],COLUMN(NAS1352First[Corrosion Resistant Steel Minimum Breaking Strength (lb)]),FALSE)</f>
        <v>67800</v>
      </c>
      <c r="W161" s="17" cm="1">
        <f t="array" ref="W161">VLOOKUP($B161,NAS1352First[],COLUMN(NAS1352First[Heat Resistant Steel Minimum Breaking Strength (lb)]),FALSE)</f>
        <v>155100</v>
      </c>
    </row>
    <row r="162" spans="1:23" x14ac:dyDescent="0.25">
      <c r="A162" s="15" t="s">
        <v>679</v>
      </c>
      <c r="B162" s="8" t="str">
        <f t="shared" si="7"/>
        <v>20</v>
      </c>
      <c r="C162" s="8">
        <f t="shared" si="6"/>
        <v>4</v>
      </c>
      <c r="D162" s="8" t="str" cm="1">
        <f t="array" ref="D162">VLOOKUP($B162,NAS1352First[],COLUMN(NAS1352First[Thread Size]),FALSE)</f>
        <v>1 1/4 UNC CLASS 3</v>
      </c>
      <c r="E162" s="8" cm="1">
        <f t="array" ref="E162">VLOOKUP($B162,NAS1352First[],COLUMN(NAS1352First[Body Diameter Max]),FALSE)</f>
        <v>1.25</v>
      </c>
      <c r="F162" s="8" cm="1">
        <f t="array" ref="F162">VLOOKUP($B162,NAS1352First[],COLUMN(NAS1352First[Body Diameter Max2]),FALSE)</f>
        <v>1.2336</v>
      </c>
      <c r="G162" s="8" cm="1">
        <f t="array" ref="G162">VLOOKUP($B162,NAS1352First[],COLUMN(NAS1352First[Head Diameter Max]),FALSE)</f>
        <v>1.875</v>
      </c>
      <c r="H162" s="8" cm="1">
        <f t="array" ref="H162">VLOOKUP($B162,NAS1352First[],COLUMN(NAS1352First[Head Diameter Min]),FALSE)</f>
        <v>1.8520000000000001</v>
      </c>
      <c r="I162" s="8" cm="1">
        <f t="array" ref="I162">VLOOKUP($B162,NAS1352First[],COLUMN(NAS1352First[Head Height Max]),FALSE)</f>
        <v>1.25</v>
      </c>
      <c r="J162" s="8" cm="1">
        <f t="array" ref="J162">VLOOKUP($B162,NAS1352First[],COLUMN(NAS1352First[Head Height Min]),FALSE)</f>
        <v>1.236</v>
      </c>
      <c r="K162" s="8" cm="1">
        <f t="array" ref="K162">VLOOKUP($B162,NAS1352First[],COLUMN(NAS1352First[Head Side Height Min]),FALSE)</f>
        <v>1.125</v>
      </c>
      <c r="L162" s="8" cm="1">
        <f t="array" ref="L162">VLOOKUP($B162,NAS1352First[],COLUMN(NAS1352First[Nominal Socket Size]),FALSE)</f>
        <v>0.875</v>
      </c>
      <c r="M162" s="8" cm="1">
        <f t="array" ref="M162">VLOOKUP($B162,NAS1352First[],COLUMN(NAS1352First[Key Engagement Min]),FALSE)</f>
        <v>0.62</v>
      </c>
      <c r="N162" s="8" cm="1">
        <f t="array" ref="N162">VLOOKUP($B162,NAS1352First[],COLUMN(NAS1352First[Wall Thickness Min]),FALSE)</f>
        <v>0.47499999999999998</v>
      </c>
      <c r="O162" s="8" cm="1">
        <f t="array" ref="O162">VLOOKUP($B162,NAS1352First[],COLUMN(NAS1352First[Chamfer or Radius Max]),FALSE)</f>
        <v>1.4999999999999999E-2</v>
      </c>
      <c r="P162" s="8" cm="1">
        <f t="array" ref="P162">VLOOKUP($B162,NAS1352First[],COLUMN(NAS1352First[Minimum Basic Thread Length]),FALSE)</f>
        <v>3.125</v>
      </c>
      <c r="Q162" s="8" cm="1">
        <f t="array" ref="Q162">VLOOKUP($B162,NAS1352First[],COLUMN(NAS1352First[Drilled Hole Location Max]),FALSE)</f>
        <v>0</v>
      </c>
      <c r="R162" s="8" cm="1">
        <f t="array" ref="R162">VLOOKUP($B162,NAS1352First[],COLUMN(NAS1352First[Drilled Hole Location Min]),FALSE)</f>
        <v>0</v>
      </c>
      <c r="S162" s="8" cm="1">
        <f t="array" ref="S162">VLOOKUP($B162,NAS1352First[],COLUMN(NAS1352First[Drilled Hole Diameter Max]),FALSE)</f>
        <v>0</v>
      </c>
      <c r="T162" s="8" cm="1">
        <f t="array" ref="T162">VLOOKUP($B162,NAS1352First[],COLUMN(NAS1352First[Drilled Hole Diameter Min]),FALSE)</f>
        <v>0</v>
      </c>
      <c r="U162" s="8" cm="1">
        <f t="array" ref="U162">VLOOKUP($B162,NAS1352First[],COLUMN(NAS1352First[Alloy Steel Minimum Breaking Strength (lb)]),FALSE)</f>
        <v>165000</v>
      </c>
      <c r="V162" s="8" cm="1">
        <f t="array" ref="V162">VLOOKUP($B162,NAS1352First[],COLUMN(NAS1352First[Corrosion Resistant Steel Minimum Breaking Strength (lb)]),FALSE)</f>
        <v>67800</v>
      </c>
      <c r="W162" s="17" cm="1">
        <f t="array" ref="W162">VLOOKUP($B162,NAS1352First[],COLUMN(NAS1352First[Heat Resistant Steel Minimum Breaking Strength (lb)]),FALSE)</f>
        <v>155100</v>
      </c>
    </row>
    <row r="163" spans="1:23" x14ac:dyDescent="0.25">
      <c r="A163" s="15" t="s">
        <v>680</v>
      </c>
      <c r="B163" s="8" t="str">
        <f t="shared" si="7"/>
        <v>20</v>
      </c>
      <c r="C163" s="8">
        <f t="shared" si="6"/>
        <v>4.5</v>
      </c>
      <c r="D163" s="8" t="str" cm="1">
        <f t="array" ref="D163">VLOOKUP($B163,NAS1352First[],COLUMN(NAS1352First[Thread Size]),FALSE)</f>
        <v>1 1/4 UNC CLASS 3</v>
      </c>
      <c r="E163" s="8" cm="1">
        <f t="array" ref="E163">VLOOKUP($B163,NAS1352First[],COLUMN(NAS1352First[Body Diameter Max]),FALSE)</f>
        <v>1.25</v>
      </c>
      <c r="F163" s="8" cm="1">
        <f t="array" ref="F163">VLOOKUP($B163,NAS1352First[],COLUMN(NAS1352First[Body Diameter Max2]),FALSE)</f>
        <v>1.2336</v>
      </c>
      <c r="G163" s="8" cm="1">
        <f t="array" ref="G163">VLOOKUP($B163,NAS1352First[],COLUMN(NAS1352First[Head Diameter Max]),FALSE)</f>
        <v>1.875</v>
      </c>
      <c r="H163" s="8" cm="1">
        <f t="array" ref="H163">VLOOKUP($B163,NAS1352First[],COLUMN(NAS1352First[Head Diameter Min]),FALSE)</f>
        <v>1.8520000000000001</v>
      </c>
      <c r="I163" s="8" cm="1">
        <f t="array" ref="I163">VLOOKUP($B163,NAS1352First[],COLUMN(NAS1352First[Head Height Max]),FALSE)</f>
        <v>1.25</v>
      </c>
      <c r="J163" s="8" cm="1">
        <f t="array" ref="J163">VLOOKUP($B163,NAS1352First[],COLUMN(NAS1352First[Head Height Min]),FALSE)</f>
        <v>1.236</v>
      </c>
      <c r="K163" s="8" cm="1">
        <f t="array" ref="K163">VLOOKUP($B163,NAS1352First[],COLUMN(NAS1352First[Head Side Height Min]),FALSE)</f>
        <v>1.125</v>
      </c>
      <c r="L163" s="8" cm="1">
        <f t="array" ref="L163">VLOOKUP($B163,NAS1352First[],COLUMN(NAS1352First[Nominal Socket Size]),FALSE)</f>
        <v>0.875</v>
      </c>
      <c r="M163" s="8" cm="1">
        <f t="array" ref="M163">VLOOKUP($B163,NAS1352First[],COLUMN(NAS1352First[Key Engagement Min]),FALSE)</f>
        <v>0.62</v>
      </c>
      <c r="N163" s="8" cm="1">
        <f t="array" ref="N163">VLOOKUP($B163,NAS1352First[],COLUMN(NAS1352First[Wall Thickness Min]),FALSE)</f>
        <v>0.47499999999999998</v>
      </c>
      <c r="O163" s="8" cm="1">
        <f t="array" ref="O163">VLOOKUP($B163,NAS1352First[],COLUMN(NAS1352First[Chamfer or Radius Max]),FALSE)</f>
        <v>1.4999999999999999E-2</v>
      </c>
      <c r="P163" s="8" cm="1">
        <f t="array" ref="P163">VLOOKUP($B163,NAS1352First[],COLUMN(NAS1352First[Minimum Basic Thread Length]),FALSE)</f>
        <v>3.125</v>
      </c>
      <c r="Q163" s="8" cm="1">
        <f t="array" ref="Q163">VLOOKUP($B163,NAS1352First[],COLUMN(NAS1352First[Drilled Hole Location Max]),FALSE)</f>
        <v>0</v>
      </c>
      <c r="R163" s="8" cm="1">
        <f t="array" ref="R163">VLOOKUP($B163,NAS1352First[],COLUMN(NAS1352First[Drilled Hole Location Min]),FALSE)</f>
        <v>0</v>
      </c>
      <c r="S163" s="8" cm="1">
        <f t="array" ref="S163">VLOOKUP($B163,NAS1352First[],COLUMN(NAS1352First[Drilled Hole Diameter Max]),FALSE)</f>
        <v>0</v>
      </c>
      <c r="T163" s="8" cm="1">
        <f t="array" ref="T163">VLOOKUP($B163,NAS1352First[],COLUMN(NAS1352First[Drilled Hole Diameter Min]),FALSE)</f>
        <v>0</v>
      </c>
      <c r="U163" s="8" cm="1">
        <f t="array" ref="U163">VLOOKUP($B163,NAS1352First[],COLUMN(NAS1352First[Alloy Steel Minimum Breaking Strength (lb)]),FALSE)</f>
        <v>165000</v>
      </c>
      <c r="V163" s="8" cm="1">
        <f t="array" ref="V163">VLOOKUP($B163,NAS1352First[],COLUMN(NAS1352First[Corrosion Resistant Steel Minimum Breaking Strength (lb)]),FALSE)</f>
        <v>67800</v>
      </c>
      <c r="W163" s="17" cm="1">
        <f t="array" ref="W163">VLOOKUP($B163,NAS1352First[],COLUMN(NAS1352First[Heat Resistant Steel Minimum Breaking Strength (lb)]),FALSE)</f>
        <v>155100</v>
      </c>
    </row>
    <row r="164" spans="1:23" x14ac:dyDescent="0.25">
      <c r="A164" s="15" t="s">
        <v>681</v>
      </c>
      <c r="B164" s="8" t="str">
        <f t="shared" si="7"/>
        <v>20</v>
      </c>
      <c r="C164" s="8">
        <f t="shared" si="6"/>
        <v>5</v>
      </c>
      <c r="D164" s="8" t="str" cm="1">
        <f t="array" ref="D164">VLOOKUP($B164,NAS1352First[],COLUMN(NAS1352First[Thread Size]),FALSE)</f>
        <v>1 1/4 UNC CLASS 3</v>
      </c>
      <c r="E164" s="8" cm="1">
        <f t="array" ref="E164">VLOOKUP($B164,NAS1352First[],COLUMN(NAS1352First[Body Diameter Max]),FALSE)</f>
        <v>1.25</v>
      </c>
      <c r="F164" s="8" cm="1">
        <f t="array" ref="F164">VLOOKUP($B164,NAS1352First[],COLUMN(NAS1352First[Body Diameter Max2]),FALSE)</f>
        <v>1.2336</v>
      </c>
      <c r="G164" s="8" cm="1">
        <f t="array" ref="G164">VLOOKUP($B164,NAS1352First[],COLUMN(NAS1352First[Head Diameter Max]),FALSE)</f>
        <v>1.875</v>
      </c>
      <c r="H164" s="8" cm="1">
        <f t="array" ref="H164">VLOOKUP($B164,NAS1352First[],COLUMN(NAS1352First[Head Diameter Min]),FALSE)</f>
        <v>1.8520000000000001</v>
      </c>
      <c r="I164" s="8" cm="1">
        <f t="array" ref="I164">VLOOKUP($B164,NAS1352First[],COLUMN(NAS1352First[Head Height Max]),FALSE)</f>
        <v>1.25</v>
      </c>
      <c r="J164" s="8" cm="1">
        <f t="array" ref="J164">VLOOKUP($B164,NAS1352First[],COLUMN(NAS1352First[Head Height Min]),FALSE)</f>
        <v>1.236</v>
      </c>
      <c r="K164" s="8" cm="1">
        <f t="array" ref="K164">VLOOKUP($B164,NAS1352First[],COLUMN(NAS1352First[Head Side Height Min]),FALSE)</f>
        <v>1.125</v>
      </c>
      <c r="L164" s="8" cm="1">
        <f t="array" ref="L164">VLOOKUP($B164,NAS1352First[],COLUMN(NAS1352First[Nominal Socket Size]),FALSE)</f>
        <v>0.875</v>
      </c>
      <c r="M164" s="8" cm="1">
        <f t="array" ref="M164">VLOOKUP($B164,NAS1352First[],COLUMN(NAS1352First[Key Engagement Min]),FALSE)</f>
        <v>0.62</v>
      </c>
      <c r="N164" s="8" cm="1">
        <f t="array" ref="N164">VLOOKUP($B164,NAS1352First[],COLUMN(NAS1352First[Wall Thickness Min]),FALSE)</f>
        <v>0.47499999999999998</v>
      </c>
      <c r="O164" s="8" cm="1">
        <f t="array" ref="O164">VLOOKUP($B164,NAS1352First[],COLUMN(NAS1352First[Chamfer or Radius Max]),FALSE)</f>
        <v>1.4999999999999999E-2</v>
      </c>
      <c r="P164" s="8" cm="1">
        <f t="array" ref="P164">VLOOKUP($B164,NAS1352First[],COLUMN(NAS1352First[Minimum Basic Thread Length]),FALSE)</f>
        <v>3.125</v>
      </c>
      <c r="Q164" s="8" cm="1">
        <f t="array" ref="Q164">VLOOKUP($B164,NAS1352First[],COLUMN(NAS1352First[Drilled Hole Location Max]),FALSE)</f>
        <v>0</v>
      </c>
      <c r="R164" s="8" cm="1">
        <f t="array" ref="R164">VLOOKUP($B164,NAS1352First[],COLUMN(NAS1352First[Drilled Hole Location Min]),FALSE)</f>
        <v>0</v>
      </c>
      <c r="S164" s="8" cm="1">
        <f t="array" ref="S164">VLOOKUP($B164,NAS1352First[],COLUMN(NAS1352First[Drilled Hole Diameter Max]),FALSE)</f>
        <v>0</v>
      </c>
      <c r="T164" s="8" cm="1">
        <f t="array" ref="T164">VLOOKUP($B164,NAS1352First[],COLUMN(NAS1352First[Drilled Hole Diameter Min]),FALSE)</f>
        <v>0</v>
      </c>
      <c r="U164" s="8" cm="1">
        <f t="array" ref="U164">VLOOKUP($B164,NAS1352First[],COLUMN(NAS1352First[Alloy Steel Minimum Breaking Strength (lb)]),FALSE)</f>
        <v>165000</v>
      </c>
      <c r="V164" s="8" cm="1">
        <f t="array" ref="V164">VLOOKUP($B164,NAS1352First[],COLUMN(NAS1352First[Corrosion Resistant Steel Minimum Breaking Strength (lb)]),FALSE)</f>
        <v>67800</v>
      </c>
      <c r="W164" s="17" cm="1">
        <f t="array" ref="W164">VLOOKUP($B164,NAS1352First[],COLUMN(NAS1352First[Heat Resistant Steel Minimum Breaking Strength (lb)]),FALSE)</f>
        <v>155100</v>
      </c>
    </row>
    <row r="165" spans="1:23" x14ac:dyDescent="0.25">
      <c r="A165" s="15" t="s">
        <v>682</v>
      </c>
      <c r="B165" s="8" t="str">
        <f t="shared" si="7"/>
        <v>20</v>
      </c>
      <c r="C165" s="8">
        <f t="shared" si="6"/>
        <v>5.5</v>
      </c>
      <c r="D165" s="8" t="str" cm="1">
        <f t="array" ref="D165">VLOOKUP($B165,NAS1352First[],COLUMN(NAS1352First[Thread Size]),FALSE)</f>
        <v>1 1/4 UNC CLASS 3</v>
      </c>
      <c r="E165" s="8" cm="1">
        <f t="array" ref="E165">VLOOKUP($B165,NAS1352First[],COLUMN(NAS1352First[Body Diameter Max]),FALSE)</f>
        <v>1.25</v>
      </c>
      <c r="F165" s="8" cm="1">
        <f t="array" ref="F165">VLOOKUP($B165,NAS1352First[],COLUMN(NAS1352First[Body Diameter Max2]),FALSE)</f>
        <v>1.2336</v>
      </c>
      <c r="G165" s="8" cm="1">
        <f t="array" ref="G165">VLOOKUP($B165,NAS1352First[],COLUMN(NAS1352First[Head Diameter Max]),FALSE)</f>
        <v>1.875</v>
      </c>
      <c r="H165" s="8" cm="1">
        <f t="array" ref="H165">VLOOKUP($B165,NAS1352First[],COLUMN(NAS1352First[Head Diameter Min]),FALSE)</f>
        <v>1.8520000000000001</v>
      </c>
      <c r="I165" s="8" cm="1">
        <f t="array" ref="I165">VLOOKUP($B165,NAS1352First[],COLUMN(NAS1352First[Head Height Max]),FALSE)</f>
        <v>1.25</v>
      </c>
      <c r="J165" s="8" cm="1">
        <f t="array" ref="J165">VLOOKUP($B165,NAS1352First[],COLUMN(NAS1352First[Head Height Min]),FALSE)</f>
        <v>1.236</v>
      </c>
      <c r="K165" s="8" cm="1">
        <f t="array" ref="K165">VLOOKUP($B165,NAS1352First[],COLUMN(NAS1352First[Head Side Height Min]),FALSE)</f>
        <v>1.125</v>
      </c>
      <c r="L165" s="8" cm="1">
        <f t="array" ref="L165">VLOOKUP($B165,NAS1352First[],COLUMN(NAS1352First[Nominal Socket Size]),FALSE)</f>
        <v>0.875</v>
      </c>
      <c r="M165" s="8" cm="1">
        <f t="array" ref="M165">VLOOKUP($B165,NAS1352First[],COLUMN(NAS1352First[Key Engagement Min]),FALSE)</f>
        <v>0.62</v>
      </c>
      <c r="N165" s="8" cm="1">
        <f t="array" ref="N165">VLOOKUP($B165,NAS1352First[],COLUMN(NAS1352First[Wall Thickness Min]),FALSE)</f>
        <v>0.47499999999999998</v>
      </c>
      <c r="O165" s="8" cm="1">
        <f t="array" ref="O165">VLOOKUP($B165,NAS1352First[],COLUMN(NAS1352First[Chamfer or Radius Max]),FALSE)</f>
        <v>1.4999999999999999E-2</v>
      </c>
      <c r="P165" s="8" cm="1">
        <f t="array" ref="P165">VLOOKUP($B165,NAS1352First[],COLUMN(NAS1352First[Minimum Basic Thread Length]),FALSE)</f>
        <v>3.125</v>
      </c>
      <c r="Q165" s="8" cm="1">
        <f t="array" ref="Q165">VLOOKUP($B165,NAS1352First[],COLUMN(NAS1352First[Drilled Hole Location Max]),FALSE)</f>
        <v>0</v>
      </c>
      <c r="R165" s="8" cm="1">
        <f t="array" ref="R165">VLOOKUP($B165,NAS1352First[],COLUMN(NAS1352First[Drilled Hole Location Min]),FALSE)</f>
        <v>0</v>
      </c>
      <c r="S165" s="8" cm="1">
        <f t="array" ref="S165">VLOOKUP($B165,NAS1352First[],COLUMN(NAS1352First[Drilled Hole Diameter Max]),FALSE)</f>
        <v>0</v>
      </c>
      <c r="T165" s="8" cm="1">
        <f t="array" ref="T165">VLOOKUP($B165,NAS1352First[],COLUMN(NAS1352First[Drilled Hole Diameter Min]),FALSE)</f>
        <v>0</v>
      </c>
      <c r="U165" s="8" cm="1">
        <f t="array" ref="U165">VLOOKUP($B165,NAS1352First[],COLUMN(NAS1352First[Alloy Steel Minimum Breaking Strength (lb)]),FALSE)</f>
        <v>165000</v>
      </c>
      <c r="V165" s="8" cm="1">
        <f t="array" ref="V165">VLOOKUP($B165,NAS1352First[],COLUMN(NAS1352First[Corrosion Resistant Steel Minimum Breaking Strength (lb)]),FALSE)</f>
        <v>67800</v>
      </c>
      <c r="W165" s="17" cm="1">
        <f t="array" ref="W165">VLOOKUP($B165,NAS1352First[],COLUMN(NAS1352First[Heat Resistant Steel Minimum Breaking Strength (lb)]),FALSE)</f>
        <v>155100</v>
      </c>
    </row>
    <row r="166" spans="1:23" x14ac:dyDescent="0.25">
      <c r="A166" s="15" t="s">
        <v>683</v>
      </c>
      <c r="B166" s="8" t="str">
        <f t="shared" si="7"/>
        <v>20</v>
      </c>
      <c r="C166" s="8">
        <f t="shared" si="6"/>
        <v>6</v>
      </c>
      <c r="D166" s="8" t="str" cm="1">
        <f t="array" ref="D166">VLOOKUP($B166,NAS1352First[],COLUMN(NAS1352First[Thread Size]),FALSE)</f>
        <v>1 1/4 UNC CLASS 3</v>
      </c>
      <c r="E166" s="8" cm="1">
        <f t="array" ref="E166">VLOOKUP($B166,NAS1352First[],COLUMN(NAS1352First[Body Diameter Max]),FALSE)</f>
        <v>1.25</v>
      </c>
      <c r="F166" s="8" cm="1">
        <f t="array" ref="F166">VLOOKUP($B166,NAS1352First[],COLUMN(NAS1352First[Body Diameter Max2]),FALSE)</f>
        <v>1.2336</v>
      </c>
      <c r="G166" s="8" cm="1">
        <f t="array" ref="G166">VLOOKUP($B166,NAS1352First[],COLUMN(NAS1352First[Head Diameter Max]),FALSE)</f>
        <v>1.875</v>
      </c>
      <c r="H166" s="8" cm="1">
        <f t="array" ref="H166">VLOOKUP($B166,NAS1352First[],COLUMN(NAS1352First[Head Diameter Min]),FALSE)</f>
        <v>1.8520000000000001</v>
      </c>
      <c r="I166" s="8" cm="1">
        <f t="array" ref="I166">VLOOKUP($B166,NAS1352First[],COLUMN(NAS1352First[Head Height Max]),FALSE)</f>
        <v>1.25</v>
      </c>
      <c r="J166" s="8" cm="1">
        <f t="array" ref="J166">VLOOKUP($B166,NAS1352First[],COLUMN(NAS1352First[Head Height Min]),FALSE)</f>
        <v>1.236</v>
      </c>
      <c r="K166" s="8" cm="1">
        <f t="array" ref="K166">VLOOKUP($B166,NAS1352First[],COLUMN(NAS1352First[Head Side Height Min]),FALSE)</f>
        <v>1.125</v>
      </c>
      <c r="L166" s="8" cm="1">
        <f t="array" ref="L166">VLOOKUP($B166,NAS1352First[],COLUMN(NAS1352First[Nominal Socket Size]),FALSE)</f>
        <v>0.875</v>
      </c>
      <c r="M166" s="8" cm="1">
        <f t="array" ref="M166">VLOOKUP($B166,NAS1352First[],COLUMN(NAS1352First[Key Engagement Min]),FALSE)</f>
        <v>0.62</v>
      </c>
      <c r="N166" s="8" cm="1">
        <f t="array" ref="N166">VLOOKUP($B166,NAS1352First[],COLUMN(NAS1352First[Wall Thickness Min]),FALSE)</f>
        <v>0.47499999999999998</v>
      </c>
      <c r="O166" s="8" cm="1">
        <f t="array" ref="O166">VLOOKUP($B166,NAS1352First[],COLUMN(NAS1352First[Chamfer or Radius Max]),FALSE)</f>
        <v>1.4999999999999999E-2</v>
      </c>
      <c r="P166" s="8" cm="1">
        <f t="array" ref="P166">VLOOKUP($B166,NAS1352First[],COLUMN(NAS1352First[Minimum Basic Thread Length]),FALSE)</f>
        <v>3.125</v>
      </c>
      <c r="Q166" s="8" cm="1">
        <f t="array" ref="Q166">VLOOKUP($B166,NAS1352First[],COLUMN(NAS1352First[Drilled Hole Location Max]),FALSE)</f>
        <v>0</v>
      </c>
      <c r="R166" s="8" cm="1">
        <f t="array" ref="R166">VLOOKUP($B166,NAS1352First[],COLUMN(NAS1352First[Drilled Hole Location Min]),FALSE)</f>
        <v>0</v>
      </c>
      <c r="S166" s="8" cm="1">
        <f t="array" ref="S166">VLOOKUP($B166,NAS1352First[],COLUMN(NAS1352First[Drilled Hole Diameter Max]),FALSE)</f>
        <v>0</v>
      </c>
      <c r="T166" s="8" cm="1">
        <f t="array" ref="T166">VLOOKUP($B166,NAS1352First[],COLUMN(NAS1352First[Drilled Hole Diameter Min]),FALSE)</f>
        <v>0</v>
      </c>
      <c r="U166" s="8" cm="1">
        <f t="array" ref="U166">VLOOKUP($B166,NAS1352First[],COLUMN(NAS1352First[Alloy Steel Minimum Breaking Strength (lb)]),FALSE)</f>
        <v>165000</v>
      </c>
      <c r="V166" s="8" cm="1">
        <f t="array" ref="V166">VLOOKUP($B166,NAS1352First[],COLUMN(NAS1352First[Corrosion Resistant Steel Minimum Breaking Strength (lb)]),FALSE)</f>
        <v>67800</v>
      </c>
      <c r="W166" s="17" cm="1">
        <f t="array" ref="W166">VLOOKUP($B166,NAS1352First[],COLUMN(NAS1352First[Heat Resistant Steel Minimum Breaking Strength (lb)]),FALSE)</f>
        <v>155100</v>
      </c>
    </row>
    <row r="167" spans="1:23" x14ac:dyDescent="0.25">
      <c r="A167" s="15" t="s">
        <v>684</v>
      </c>
      <c r="B167" s="8" t="str">
        <f t="shared" si="7"/>
        <v>24</v>
      </c>
      <c r="C167" s="8">
        <f t="shared" si="6"/>
        <v>3.5</v>
      </c>
      <c r="D167" s="8" t="str" cm="1">
        <f t="array" ref="D167">VLOOKUP($B167,NAS1352First[],COLUMN(NAS1352First[Thread Size]),FALSE)</f>
        <v>1 1/2 UNC CLASS 3</v>
      </c>
      <c r="E167" s="8" cm="1">
        <f t="array" ref="E167">VLOOKUP($B167,NAS1352First[],COLUMN(NAS1352First[Body Diameter Max]),FALSE)</f>
        <v>1.5</v>
      </c>
      <c r="F167" s="8" cm="1">
        <f t="array" ref="F167">VLOOKUP($B167,NAS1352First[],COLUMN(NAS1352First[Body Diameter Max2]),FALSE)</f>
        <v>1.4818</v>
      </c>
      <c r="G167" s="8" cm="1">
        <f t="array" ref="G167">VLOOKUP($B167,NAS1352First[],COLUMN(NAS1352First[Head Diameter Max]),FALSE)</f>
        <v>2.25</v>
      </c>
      <c r="H167" s="8" cm="1">
        <f t="array" ref="H167">VLOOKUP($B167,NAS1352First[],COLUMN(NAS1352First[Head Diameter Min]),FALSE)</f>
        <v>2.2240000000000002</v>
      </c>
      <c r="I167" s="8" cm="1">
        <f t="array" ref="I167">VLOOKUP($B167,NAS1352First[],COLUMN(NAS1352First[Head Height Max]),FALSE)</f>
        <v>1.5</v>
      </c>
      <c r="J167" s="8" cm="1">
        <f t="array" ref="J167">VLOOKUP($B167,NAS1352First[],COLUMN(NAS1352First[Head Height Min]),FALSE)</f>
        <v>1.4850000000000001</v>
      </c>
      <c r="K167" s="8" cm="1">
        <f t="array" ref="K167">VLOOKUP($B167,NAS1352First[],COLUMN(NAS1352First[Head Side Height Min]),FALSE)</f>
        <v>1.35</v>
      </c>
      <c r="L167" s="8" cm="1">
        <f t="array" ref="L167">VLOOKUP($B167,NAS1352First[],COLUMN(NAS1352First[Nominal Socket Size]),FALSE)</f>
        <v>1</v>
      </c>
      <c r="M167" s="8" cm="1">
        <f t="array" ref="M167">VLOOKUP($B167,NAS1352First[],COLUMN(NAS1352First[Key Engagement Min]),FALSE)</f>
        <v>0.745</v>
      </c>
      <c r="N167" s="8" cm="1">
        <f t="array" ref="N167">VLOOKUP($B167,NAS1352First[],COLUMN(NAS1352First[Wall Thickness Min]),FALSE)</f>
        <v>0.56999999999999995</v>
      </c>
      <c r="O167" s="8" cm="1">
        <f t="array" ref="O167">VLOOKUP($B167,NAS1352First[],COLUMN(NAS1352First[Chamfer or Radius Max]),FALSE)</f>
        <v>1.4999999999999999E-2</v>
      </c>
      <c r="P167" s="8" cm="1">
        <f t="array" ref="P167">VLOOKUP($B167,NAS1352First[],COLUMN(NAS1352First[Minimum Basic Thread Length]),FALSE)</f>
        <v>3.75</v>
      </c>
      <c r="Q167" s="8" cm="1">
        <f t="array" ref="Q167">VLOOKUP($B167,NAS1352First[],COLUMN(NAS1352First[Drilled Hole Location Max]),FALSE)</f>
        <v>0</v>
      </c>
      <c r="R167" s="8" cm="1">
        <f t="array" ref="R167">VLOOKUP($B167,NAS1352First[],COLUMN(NAS1352First[Drilled Hole Location Min]),FALSE)</f>
        <v>0</v>
      </c>
      <c r="S167" s="8" cm="1">
        <f t="array" ref="S167">VLOOKUP($B167,NAS1352First[],COLUMN(NAS1352First[Drilled Hole Diameter Max]),FALSE)</f>
        <v>0</v>
      </c>
      <c r="T167" s="8" cm="1">
        <f t="array" ref="T167">VLOOKUP($B167,NAS1352First[],COLUMN(NAS1352First[Drilled Hole Diameter Min]),FALSE)</f>
        <v>0</v>
      </c>
      <c r="U167" s="8" cm="1">
        <f t="array" ref="U167">VLOOKUP($B167,NAS1352First[],COLUMN(NAS1352First[Alloy Steel Minimum Breaking Strength (lb)]),FALSE)</f>
        <v>239000</v>
      </c>
      <c r="V167" s="8" cm="1">
        <f t="array" ref="V167">VLOOKUP($B167,NAS1352First[],COLUMN(NAS1352First[Corrosion Resistant Steel Minimum Breaking Strength (lb)]),FALSE)</f>
        <v>98300</v>
      </c>
      <c r="W167" s="17" cm="1">
        <f t="array" ref="W167">VLOOKUP($B167,NAS1352First[],COLUMN(NAS1352First[Heat Resistant Steel Minimum Breaking Strength (lb)]),FALSE)</f>
        <v>225000</v>
      </c>
    </row>
    <row r="168" spans="1:23" x14ac:dyDescent="0.25">
      <c r="A168" s="15" t="s">
        <v>685</v>
      </c>
      <c r="B168" s="8" t="str">
        <f t="shared" si="7"/>
        <v>24</v>
      </c>
      <c r="C168" s="8">
        <f t="shared" si="6"/>
        <v>4</v>
      </c>
      <c r="D168" s="8" t="str" cm="1">
        <f t="array" ref="D168">VLOOKUP($B168,NAS1352First[],COLUMN(NAS1352First[Thread Size]),FALSE)</f>
        <v>1 1/2 UNC CLASS 3</v>
      </c>
      <c r="E168" s="8" cm="1">
        <f t="array" ref="E168">VLOOKUP($B168,NAS1352First[],COLUMN(NAS1352First[Body Diameter Max]),FALSE)</f>
        <v>1.5</v>
      </c>
      <c r="F168" s="8" cm="1">
        <f t="array" ref="F168">VLOOKUP($B168,NAS1352First[],COLUMN(NAS1352First[Body Diameter Max2]),FALSE)</f>
        <v>1.4818</v>
      </c>
      <c r="G168" s="8" cm="1">
        <f t="array" ref="G168">VLOOKUP($B168,NAS1352First[],COLUMN(NAS1352First[Head Diameter Max]),FALSE)</f>
        <v>2.25</v>
      </c>
      <c r="H168" s="8" cm="1">
        <f t="array" ref="H168">VLOOKUP($B168,NAS1352First[],COLUMN(NAS1352First[Head Diameter Min]),FALSE)</f>
        <v>2.2240000000000002</v>
      </c>
      <c r="I168" s="8" cm="1">
        <f t="array" ref="I168">VLOOKUP($B168,NAS1352First[],COLUMN(NAS1352First[Head Height Max]),FALSE)</f>
        <v>1.5</v>
      </c>
      <c r="J168" s="8" cm="1">
        <f t="array" ref="J168">VLOOKUP($B168,NAS1352First[],COLUMN(NAS1352First[Head Height Min]),FALSE)</f>
        <v>1.4850000000000001</v>
      </c>
      <c r="K168" s="8" cm="1">
        <f t="array" ref="K168">VLOOKUP($B168,NAS1352First[],COLUMN(NAS1352First[Head Side Height Min]),FALSE)</f>
        <v>1.35</v>
      </c>
      <c r="L168" s="8" cm="1">
        <f t="array" ref="L168">VLOOKUP($B168,NAS1352First[],COLUMN(NAS1352First[Nominal Socket Size]),FALSE)</f>
        <v>1</v>
      </c>
      <c r="M168" s="8" cm="1">
        <f t="array" ref="M168">VLOOKUP($B168,NAS1352First[],COLUMN(NAS1352First[Key Engagement Min]),FALSE)</f>
        <v>0.745</v>
      </c>
      <c r="N168" s="8" cm="1">
        <f t="array" ref="N168">VLOOKUP($B168,NAS1352First[],COLUMN(NAS1352First[Wall Thickness Min]),FALSE)</f>
        <v>0.56999999999999995</v>
      </c>
      <c r="O168" s="8" cm="1">
        <f t="array" ref="O168">VLOOKUP($B168,NAS1352First[],COLUMN(NAS1352First[Chamfer or Radius Max]),FALSE)</f>
        <v>1.4999999999999999E-2</v>
      </c>
      <c r="P168" s="8" cm="1">
        <f t="array" ref="P168">VLOOKUP($B168,NAS1352First[],COLUMN(NAS1352First[Minimum Basic Thread Length]),FALSE)</f>
        <v>3.75</v>
      </c>
      <c r="Q168" s="8" cm="1">
        <f t="array" ref="Q168">VLOOKUP($B168,NAS1352First[],COLUMN(NAS1352First[Drilled Hole Location Max]),FALSE)</f>
        <v>0</v>
      </c>
      <c r="R168" s="8" cm="1">
        <f t="array" ref="R168">VLOOKUP($B168,NAS1352First[],COLUMN(NAS1352First[Drilled Hole Location Min]),FALSE)</f>
        <v>0</v>
      </c>
      <c r="S168" s="8" cm="1">
        <f t="array" ref="S168">VLOOKUP($B168,NAS1352First[],COLUMN(NAS1352First[Drilled Hole Diameter Max]),FALSE)</f>
        <v>0</v>
      </c>
      <c r="T168" s="8" cm="1">
        <f t="array" ref="T168">VLOOKUP($B168,NAS1352First[],COLUMN(NAS1352First[Drilled Hole Diameter Min]),FALSE)</f>
        <v>0</v>
      </c>
      <c r="U168" s="8" cm="1">
        <f t="array" ref="U168">VLOOKUP($B168,NAS1352First[],COLUMN(NAS1352First[Alloy Steel Minimum Breaking Strength (lb)]),FALSE)</f>
        <v>239000</v>
      </c>
      <c r="V168" s="8" cm="1">
        <f t="array" ref="V168">VLOOKUP($B168,NAS1352First[],COLUMN(NAS1352First[Corrosion Resistant Steel Minimum Breaking Strength (lb)]),FALSE)</f>
        <v>98300</v>
      </c>
      <c r="W168" s="17" cm="1">
        <f t="array" ref="W168">VLOOKUP($B168,NAS1352First[],COLUMN(NAS1352First[Heat Resistant Steel Minimum Breaking Strength (lb)]),FALSE)</f>
        <v>225000</v>
      </c>
    </row>
    <row r="169" spans="1:23" x14ac:dyDescent="0.25">
      <c r="A169" s="15" t="s">
        <v>686</v>
      </c>
      <c r="B169" s="8" t="str">
        <f t="shared" si="7"/>
        <v>24</v>
      </c>
      <c r="C169" s="8">
        <f t="shared" si="6"/>
        <v>4.5</v>
      </c>
      <c r="D169" s="8" t="str" cm="1">
        <f t="array" ref="D169">VLOOKUP($B169,NAS1352First[],COLUMN(NAS1352First[Thread Size]),FALSE)</f>
        <v>1 1/2 UNC CLASS 3</v>
      </c>
      <c r="E169" s="8" cm="1">
        <f t="array" ref="E169">VLOOKUP($B169,NAS1352First[],COLUMN(NAS1352First[Body Diameter Max]),FALSE)</f>
        <v>1.5</v>
      </c>
      <c r="F169" s="8" cm="1">
        <f t="array" ref="F169">VLOOKUP($B169,NAS1352First[],COLUMN(NAS1352First[Body Diameter Max2]),FALSE)</f>
        <v>1.4818</v>
      </c>
      <c r="G169" s="8" cm="1">
        <f t="array" ref="G169">VLOOKUP($B169,NAS1352First[],COLUMN(NAS1352First[Head Diameter Max]),FALSE)</f>
        <v>2.25</v>
      </c>
      <c r="H169" s="8" cm="1">
        <f t="array" ref="H169">VLOOKUP($B169,NAS1352First[],COLUMN(NAS1352First[Head Diameter Min]),FALSE)</f>
        <v>2.2240000000000002</v>
      </c>
      <c r="I169" s="8" cm="1">
        <f t="array" ref="I169">VLOOKUP($B169,NAS1352First[],COLUMN(NAS1352First[Head Height Max]),FALSE)</f>
        <v>1.5</v>
      </c>
      <c r="J169" s="8" cm="1">
        <f t="array" ref="J169">VLOOKUP($B169,NAS1352First[],COLUMN(NAS1352First[Head Height Min]),FALSE)</f>
        <v>1.4850000000000001</v>
      </c>
      <c r="K169" s="8" cm="1">
        <f t="array" ref="K169">VLOOKUP($B169,NAS1352First[],COLUMN(NAS1352First[Head Side Height Min]),FALSE)</f>
        <v>1.35</v>
      </c>
      <c r="L169" s="8" cm="1">
        <f t="array" ref="L169">VLOOKUP($B169,NAS1352First[],COLUMN(NAS1352First[Nominal Socket Size]),FALSE)</f>
        <v>1</v>
      </c>
      <c r="M169" s="8" cm="1">
        <f t="array" ref="M169">VLOOKUP($B169,NAS1352First[],COLUMN(NAS1352First[Key Engagement Min]),FALSE)</f>
        <v>0.745</v>
      </c>
      <c r="N169" s="8" cm="1">
        <f t="array" ref="N169">VLOOKUP($B169,NAS1352First[],COLUMN(NAS1352First[Wall Thickness Min]),FALSE)</f>
        <v>0.56999999999999995</v>
      </c>
      <c r="O169" s="8" cm="1">
        <f t="array" ref="O169">VLOOKUP($B169,NAS1352First[],COLUMN(NAS1352First[Chamfer or Radius Max]),FALSE)</f>
        <v>1.4999999999999999E-2</v>
      </c>
      <c r="P169" s="8" cm="1">
        <f t="array" ref="P169">VLOOKUP($B169,NAS1352First[],COLUMN(NAS1352First[Minimum Basic Thread Length]),FALSE)</f>
        <v>3.75</v>
      </c>
      <c r="Q169" s="8" cm="1">
        <f t="array" ref="Q169">VLOOKUP($B169,NAS1352First[],COLUMN(NAS1352First[Drilled Hole Location Max]),FALSE)</f>
        <v>0</v>
      </c>
      <c r="R169" s="8" cm="1">
        <f t="array" ref="R169">VLOOKUP($B169,NAS1352First[],COLUMN(NAS1352First[Drilled Hole Location Min]),FALSE)</f>
        <v>0</v>
      </c>
      <c r="S169" s="8" cm="1">
        <f t="array" ref="S169">VLOOKUP($B169,NAS1352First[],COLUMN(NAS1352First[Drilled Hole Diameter Max]),FALSE)</f>
        <v>0</v>
      </c>
      <c r="T169" s="8" cm="1">
        <f t="array" ref="T169">VLOOKUP($B169,NAS1352First[],COLUMN(NAS1352First[Drilled Hole Diameter Min]),FALSE)</f>
        <v>0</v>
      </c>
      <c r="U169" s="8" cm="1">
        <f t="array" ref="U169">VLOOKUP($B169,NAS1352First[],COLUMN(NAS1352First[Alloy Steel Minimum Breaking Strength (lb)]),FALSE)</f>
        <v>239000</v>
      </c>
      <c r="V169" s="8" cm="1">
        <f t="array" ref="V169">VLOOKUP($B169,NAS1352First[],COLUMN(NAS1352First[Corrosion Resistant Steel Minimum Breaking Strength (lb)]),FALSE)</f>
        <v>98300</v>
      </c>
      <c r="W169" s="17" cm="1">
        <f t="array" ref="W169">VLOOKUP($B169,NAS1352First[],COLUMN(NAS1352First[Heat Resistant Steel Minimum Breaking Strength (lb)]),FALSE)</f>
        <v>225000</v>
      </c>
    </row>
    <row r="170" spans="1:23" x14ac:dyDescent="0.25">
      <c r="A170" s="15" t="s">
        <v>687</v>
      </c>
      <c r="B170" s="8" t="str">
        <f t="shared" si="7"/>
        <v>24</v>
      </c>
      <c r="C170" s="8">
        <f t="shared" si="6"/>
        <v>5</v>
      </c>
      <c r="D170" s="8" t="str" cm="1">
        <f t="array" ref="D170">VLOOKUP($B170,NAS1352First[],COLUMN(NAS1352First[Thread Size]),FALSE)</f>
        <v>1 1/2 UNC CLASS 3</v>
      </c>
      <c r="E170" s="8" cm="1">
        <f t="array" ref="E170">VLOOKUP($B170,NAS1352First[],COLUMN(NAS1352First[Body Diameter Max]),FALSE)</f>
        <v>1.5</v>
      </c>
      <c r="F170" s="8" cm="1">
        <f t="array" ref="F170">VLOOKUP($B170,NAS1352First[],COLUMN(NAS1352First[Body Diameter Max2]),FALSE)</f>
        <v>1.4818</v>
      </c>
      <c r="G170" s="8" cm="1">
        <f t="array" ref="G170">VLOOKUP($B170,NAS1352First[],COLUMN(NAS1352First[Head Diameter Max]),FALSE)</f>
        <v>2.25</v>
      </c>
      <c r="H170" s="8" cm="1">
        <f t="array" ref="H170">VLOOKUP($B170,NAS1352First[],COLUMN(NAS1352First[Head Diameter Min]),FALSE)</f>
        <v>2.2240000000000002</v>
      </c>
      <c r="I170" s="8" cm="1">
        <f t="array" ref="I170">VLOOKUP($B170,NAS1352First[],COLUMN(NAS1352First[Head Height Max]),FALSE)</f>
        <v>1.5</v>
      </c>
      <c r="J170" s="8" cm="1">
        <f t="array" ref="J170">VLOOKUP($B170,NAS1352First[],COLUMN(NAS1352First[Head Height Min]),FALSE)</f>
        <v>1.4850000000000001</v>
      </c>
      <c r="K170" s="8" cm="1">
        <f t="array" ref="K170">VLOOKUP($B170,NAS1352First[],COLUMN(NAS1352First[Head Side Height Min]),FALSE)</f>
        <v>1.35</v>
      </c>
      <c r="L170" s="8" cm="1">
        <f t="array" ref="L170">VLOOKUP($B170,NAS1352First[],COLUMN(NAS1352First[Nominal Socket Size]),FALSE)</f>
        <v>1</v>
      </c>
      <c r="M170" s="8" cm="1">
        <f t="array" ref="M170">VLOOKUP($B170,NAS1352First[],COLUMN(NAS1352First[Key Engagement Min]),FALSE)</f>
        <v>0.745</v>
      </c>
      <c r="N170" s="8" cm="1">
        <f t="array" ref="N170">VLOOKUP($B170,NAS1352First[],COLUMN(NAS1352First[Wall Thickness Min]),FALSE)</f>
        <v>0.56999999999999995</v>
      </c>
      <c r="O170" s="8" cm="1">
        <f t="array" ref="O170">VLOOKUP($B170,NAS1352First[],COLUMN(NAS1352First[Chamfer or Radius Max]),FALSE)</f>
        <v>1.4999999999999999E-2</v>
      </c>
      <c r="P170" s="8" cm="1">
        <f t="array" ref="P170">VLOOKUP($B170,NAS1352First[],COLUMN(NAS1352First[Minimum Basic Thread Length]),FALSE)</f>
        <v>3.75</v>
      </c>
      <c r="Q170" s="8" cm="1">
        <f t="array" ref="Q170">VLOOKUP($B170,NAS1352First[],COLUMN(NAS1352First[Drilled Hole Location Max]),FALSE)</f>
        <v>0</v>
      </c>
      <c r="R170" s="8" cm="1">
        <f t="array" ref="R170">VLOOKUP($B170,NAS1352First[],COLUMN(NAS1352First[Drilled Hole Location Min]),FALSE)</f>
        <v>0</v>
      </c>
      <c r="S170" s="8" cm="1">
        <f t="array" ref="S170">VLOOKUP($B170,NAS1352First[],COLUMN(NAS1352First[Drilled Hole Diameter Max]),FALSE)</f>
        <v>0</v>
      </c>
      <c r="T170" s="8" cm="1">
        <f t="array" ref="T170">VLOOKUP($B170,NAS1352First[],COLUMN(NAS1352First[Drilled Hole Diameter Min]),FALSE)</f>
        <v>0</v>
      </c>
      <c r="U170" s="8" cm="1">
        <f t="array" ref="U170">VLOOKUP($B170,NAS1352First[],COLUMN(NAS1352First[Alloy Steel Minimum Breaking Strength (lb)]),FALSE)</f>
        <v>239000</v>
      </c>
      <c r="V170" s="8" cm="1">
        <f t="array" ref="V170">VLOOKUP($B170,NAS1352First[],COLUMN(NAS1352First[Corrosion Resistant Steel Minimum Breaking Strength (lb)]),FALSE)</f>
        <v>98300</v>
      </c>
      <c r="W170" s="17" cm="1">
        <f t="array" ref="W170">VLOOKUP($B170,NAS1352First[],COLUMN(NAS1352First[Heat Resistant Steel Minimum Breaking Strength (lb)]),FALSE)</f>
        <v>225000</v>
      </c>
    </row>
    <row r="171" spans="1:23" x14ac:dyDescent="0.25">
      <c r="A171" s="15" t="s">
        <v>688</v>
      </c>
      <c r="B171" s="8" t="str">
        <f t="shared" si="7"/>
        <v>24</v>
      </c>
      <c r="C171" s="8">
        <f t="shared" si="6"/>
        <v>5.5</v>
      </c>
      <c r="D171" s="8" t="str" cm="1">
        <f t="array" ref="D171">VLOOKUP($B171,NAS1352First[],COLUMN(NAS1352First[Thread Size]),FALSE)</f>
        <v>1 1/2 UNC CLASS 3</v>
      </c>
      <c r="E171" s="8" cm="1">
        <f t="array" ref="E171">VLOOKUP($B171,NAS1352First[],COLUMN(NAS1352First[Body Diameter Max]),FALSE)</f>
        <v>1.5</v>
      </c>
      <c r="F171" s="8" cm="1">
        <f t="array" ref="F171">VLOOKUP($B171,NAS1352First[],COLUMN(NAS1352First[Body Diameter Max2]),FALSE)</f>
        <v>1.4818</v>
      </c>
      <c r="G171" s="8" cm="1">
        <f t="array" ref="G171">VLOOKUP($B171,NAS1352First[],COLUMN(NAS1352First[Head Diameter Max]),FALSE)</f>
        <v>2.25</v>
      </c>
      <c r="H171" s="8" cm="1">
        <f t="array" ref="H171">VLOOKUP($B171,NAS1352First[],COLUMN(NAS1352First[Head Diameter Min]),FALSE)</f>
        <v>2.2240000000000002</v>
      </c>
      <c r="I171" s="8" cm="1">
        <f t="array" ref="I171">VLOOKUP($B171,NAS1352First[],COLUMN(NAS1352First[Head Height Max]),FALSE)</f>
        <v>1.5</v>
      </c>
      <c r="J171" s="8" cm="1">
        <f t="array" ref="J171">VLOOKUP($B171,NAS1352First[],COLUMN(NAS1352First[Head Height Min]),FALSE)</f>
        <v>1.4850000000000001</v>
      </c>
      <c r="K171" s="8" cm="1">
        <f t="array" ref="K171">VLOOKUP($B171,NAS1352First[],COLUMN(NAS1352First[Head Side Height Min]),FALSE)</f>
        <v>1.35</v>
      </c>
      <c r="L171" s="8" cm="1">
        <f t="array" ref="L171">VLOOKUP($B171,NAS1352First[],COLUMN(NAS1352First[Nominal Socket Size]),FALSE)</f>
        <v>1</v>
      </c>
      <c r="M171" s="8" cm="1">
        <f t="array" ref="M171">VLOOKUP($B171,NAS1352First[],COLUMN(NAS1352First[Key Engagement Min]),FALSE)</f>
        <v>0.745</v>
      </c>
      <c r="N171" s="8" cm="1">
        <f t="array" ref="N171">VLOOKUP($B171,NAS1352First[],COLUMN(NAS1352First[Wall Thickness Min]),FALSE)</f>
        <v>0.56999999999999995</v>
      </c>
      <c r="O171" s="8" cm="1">
        <f t="array" ref="O171">VLOOKUP($B171,NAS1352First[],COLUMN(NAS1352First[Chamfer or Radius Max]),FALSE)</f>
        <v>1.4999999999999999E-2</v>
      </c>
      <c r="P171" s="8" cm="1">
        <f t="array" ref="P171">VLOOKUP($B171,NAS1352First[],COLUMN(NAS1352First[Minimum Basic Thread Length]),FALSE)</f>
        <v>3.75</v>
      </c>
      <c r="Q171" s="8" cm="1">
        <f t="array" ref="Q171">VLOOKUP($B171,NAS1352First[],COLUMN(NAS1352First[Drilled Hole Location Max]),FALSE)</f>
        <v>0</v>
      </c>
      <c r="R171" s="8" cm="1">
        <f t="array" ref="R171">VLOOKUP($B171,NAS1352First[],COLUMN(NAS1352First[Drilled Hole Location Min]),FALSE)</f>
        <v>0</v>
      </c>
      <c r="S171" s="8" cm="1">
        <f t="array" ref="S171">VLOOKUP($B171,NAS1352First[],COLUMN(NAS1352First[Drilled Hole Diameter Max]),FALSE)</f>
        <v>0</v>
      </c>
      <c r="T171" s="8" cm="1">
        <f t="array" ref="T171">VLOOKUP($B171,NAS1352First[],COLUMN(NAS1352First[Drilled Hole Diameter Min]),FALSE)</f>
        <v>0</v>
      </c>
      <c r="U171" s="8" cm="1">
        <f t="array" ref="U171">VLOOKUP($B171,NAS1352First[],COLUMN(NAS1352First[Alloy Steel Minimum Breaking Strength (lb)]),FALSE)</f>
        <v>239000</v>
      </c>
      <c r="V171" s="8" cm="1">
        <f t="array" ref="V171">VLOOKUP($B171,NAS1352First[],COLUMN(NAS1352First[Corrosion Resistant Steel Minimum Breaking Strength (lb)]),FALSE)</f>
        <v>98300</v>
      </c>
      <c r="W171" s="17" cm="1">
        <f t="array" ref="W171">VLOOKUP($B171,NAS1352First[],COLUMN(NAS1352First[Heat Resistant Steel Minimum Breaking Strength (lb)]),FALSE)</f>
        <v>225000</v>
      </c>
    </row>
    <row r="172" spans="1:23" x14ac:dyDescent="0.25">
      <c r="A172" s="25" t="s">
        <v>689</v>
      </c>
      <c r="B172" s="23" t="str">
        <f t="shared" si="7"/>
        <v>24</v>
      </c>
      <c r="C172" s="23">
        <f t="shared" si="6"/>
        <v>6</v>
      </c>
      <c r="D172" s="23" t="str" cm="1">
        <f t="array" ref="D172">VLOOKUP($B172,NAS1352First[],COLUMN(NAS1352First[Thread Size]),FALSE)</f>
        <v>1 1/2 UNC CLASS 3</v>
      </c>
      <c r="E172" s="23" cm="1">
        <f t="array" ref="E172">VLOOKUP($B172,NAS1352First[],COLUMN(NAS1352First[Body Diameter Max]),FALSE)</f>
        <v>1.5</v>
      </c>
      <c r="F172" s="23" cm="1">
        <f t="array" ref="F172">VLOOKUP($B172,NAS1352First[],COLUMN(NAS1352First[Body Diameter Max2]),FALSE)</f>
        <v>1.4818</v>
      </c>
      <c r="G172" s="23" cm="1">
        <f t="array" ref="G172">VLOOKUP($B172,NAS1352First[],COLUMN(NAS1352First[Head Diameter Max]),FALSE)</f>
        <v>2.25</v>
      </c>
      <c r="H172" s="23" cm="1">
        <f t="array" ref="H172">VLOOKUP($B172,NAS1352First[],COLUMN(NAS1352First[Head Diameter Min]),FALSE)</f>
        <v>2.2240000000000002</v>
      </c>
      <c r="I172" s="23" cm="1">
        <f t="array" ref="I172">VLOOKUP($B172,NAS1352First[],COLUMN(NAS1352First[Head Height Max]),FALSE)</f>
        <v>1.5</v>
      </c>
      <c r="J172" s="23" cm="1">
        <f t="array" ref="J172">VLOOKUP($B172,NAS1352First[],COLUMN(NAS1352First[Head Height Min]),FALSE)</f>
        <v>1.4850000000000001</v>
      </c>
      <c r="K172" s="23" cm="1">
        <f t="array" ref="K172">VLOOKUP($B172,NAS1352First[],COLUMN(NAS1352First[Head Side Height Min]),FALSE)</f>
        <v>1.35</v>
      </c>
      <c r="L172" s="23" cm="1">
        <f t="array" ref="L172">VLOOKUP($B172,NAS1352First[],COLUMN(NAS1352First[Nominal Socket Size]),FALSE)</f>
        <v>1</v>
      </c>
      <c r="M172" s="23" cm="1">
        <f t="array" ref="M172">VLOOKUP($B172,NAS1352First[],COLUMN(NAS1352First[Key Engagement Min]),FALSE)</f>
        <v>0.745</v>
      </c>
      <c r="N172" s="23" cm="1">
        <f t="array" ref="N172">VLOOKUP($B172,NAS1352First[],COLUMN(NAS1352First[Wall Thickness Min]),FALSE)</f>
        <v>0.56999999999999995</v>
      </c>
      <c r="O172" s="23" cm="1">
        <f t="array" ref="O172">VLOOKUP($B172,NAS1352First[],COLUMN(NAS1352First[Chamfer or Radius Max]),FALSE)</f>
        <v>1.4999999999999999E-2</v>
      </c>
      <c r="P172" s="23" cm="1">
        <f t="array" ref="P172">VLOOKUP($B172,NAS1352First[],COLUMN(NAS1352First[Minimum Basic Thread Length]),FALSE)</f>
        <v>3.75</v>
      </c>
      <c r="Q172" s="23" cm="1">
        <f t="array" ref="Q172">VLOOKUP($B172,NAS1352First[],COLUMN(NAS1352First[Drilled Hole Location Max]),FALSE)</f>
        <v>0</v>
      </c>
      <c r="R172" s="23" cm="1">
        <f t="array" ref="R172">VLOOKUP($B172,NAS1352First[],COLUMN(NAS1352First[Drilled Hole Location Min]),FALSE)</f>
        <v>0</v>
      </c>
      <c r="S172" s="23" cm="1">
        <f t="array" ref="S172">VLOOKUP($B172,NAS1352First[],COLUMN(NAS1352First[Drilled Hole Diameter Max]),FALSE)</f>
        <v>0</v>
      </c>
      <c r="T172" s="23" cm="1">
        <f t="array" ref="T172">VLOOKUP($B172,NAS1352First[],COLUMN(NAS1352First[Drilled Hole Diameter Min]),FALSE)</f>
        <v>0</v>
      </c>
      <c r="U172" s="23" cm="1">
        <f t="array" ref="U172">VLOOKUP($B172,NAS1352First[],COLUMN(NAS1352First[Alloy Steel Minimum Breaking Strength (lb)]),FALSE)</f>
        <v>239000</v>
      </c>
      <c r="V172" s="23" cm="1">
        <f t="array" ref="V172">VLOOKUP($B172,NAS1352First[],COLUMN(NAS1352First[Corrosion Resistant Steel Minimum Breaking Strength (lb)]),FALSE)</f>
        <v>98300</v>
      </c>
      <c r="W172" s="24" cm="1">
        <f t="array" ref="W172">VLOOKUP($B172,NAS1352First[],COLUMN(NAS1352First[Heat Resistant Steel Minimum Breaking Strength (lb)]),FALSE)</f>
        <v>225000</v>
      </c>
    </row>
  </sheetData>
  <dataConsolidate/>
  <phoneticPr fontId="1" type="noConversion"/>
  <pageMargins left="0.7" right="0.7" top="0.75" bottom="0.75" header="0.3" footer="0.3"/>
  <pageSetup orientation="portrait" horizontalDpi="0" verticalDpi="0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E88C6D0-6321-4BB3-89E3-6C129AB4E8A2}">
          <x14:formula1>
            <xm:f>'ASME B1.1-2003 Dimensions'!$A$2:$A$109</xm:f>
          </x14:formula1>
          <xm:sqref>B3:B14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No-Dependencies</vt:lpstr>
      <vt:lpstr>GD&amp;T</vt:lpstr>
      <vt:lpstr>Bolt Calculator</vt:lpstr>
      <vt:lpstr>Unit Lists</vt:lpstr>
      <vt:lpstr>Cool-Prop-Dependent</vt:lpstr>
      <vt:lpstr>ASME B1.1-2003 Dimensions</vt:lpstr>
      <vt:lpstr>NAS1352 Dimensions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George</cp:lastModifiedBy>
  <dcterms:created xsi:type="dcterms:W3CDTF">2022-08-19T02:16:22Z</dcterms:created>
  <dcterms:modified xsi:type="dcterms:W3CDTF">2023-06-08T03:18:15Z</dcterms:modified>
</cp:coreProperties>
</file>