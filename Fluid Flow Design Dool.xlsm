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31CA9F1F-1E06-4429-AD92-011BAB55F3D6}" xr6:coauthVersionLast="47" xr6:coauthVersionMax="47" xr10:uidLastSave="{00000000-0000-0000-0000-000000000000}"/>
  <bookViews>
    <workbookView xWindow="0" yWindow="0" windowWidth="19200" windowHeight="21000" xr2:uid="{1C68F3C9-BACF-4AE3-9327-A04E9D6F2DE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7" i="1" l="1" a="1"/>
  <c r="H17" i="1"/>
  <c r="H11" i="1" a="1"/>
  <c r="H23" i="1" a="1"/>
  <c r="H18" i="1" a="1"/>
  <c r="H24" i="1" a="1"/>
  <c r="H13" i="1" a="1"/>
  <c r="H19" i="1" a="1"/>
  <c r="H25" i="1" a="1"/>
  <c r="H14" i="1" a="1"/>
  <c r="H20" i="1" a="1"/>
  <c r="H26" i="1" a="1"/>
  <c r="H15" i="1" a="1"/>
  <c r="H21" i="1" a="1"/>
  <c r="H27" i="1" a="1"/>
  <c r="H16" i="1" a="1"/>
  <c r="H22" i="1" a="1"/>
  <c r="H12" i="1" a="1"/>
  <c r="H10" i="1" a="1"/>
  <c r="C4" i="1" a="1"/>
  <c r="C5" i="1" a="1"/>
  <c r="C6" i="1" a="1"/>
  <c r="C3" i="1" a="1"/>
  <c r="H12" i="1" l="1"/>
  <c r="H22" i="1"/>
  <c r="H16" i="1"/>
  <c r="H27" i="1"/>
  <c r="H21" i="1"/>
  <c r="H15" i="1"/>
  <c r="H26" i="1"/>
  <c r="H20" i="1"/>
  <c r="H14" i="1"/>
  <c r="H25" i="1"/>
  <c r="H19" i="1"/>
  <c r="H13" i="1"/>
  <c r="H24" i="1"/>
  <c r="H18" i="1"/>
  <c r="H23" i="1"/>
  <c r="H11" i="1"/>
  <c r="H10" i="1"/>
  <c r="C3" i="1"/>
  <c r="C6" i="1"/>
  <c r="C5" i="1"/>
  <c r="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<sst xmlns="http://schemas.openxmlformats.org/spreadsheetml/2006/main" count="30" uniqueCount="30">
  <si>
    <t>Standard</t>
  </si>
  <si>
    <t>IUPAC_STP</t>
  </si>
  <si>
    <t>K</t>
  </si>
  <si>
    <t>Pa</t>
  </si>
  <si>
    <t>Metric Temperature</t>
  </si>
  <si>
    <t>Metric Pressure</t>
  </si>
  <si>
    <t>Customary Temperature</t>
  </si>
  <si>
    <t>Customary Pressure</t>
  </si>
  <si>
    <t>R</t>
  </si>
  <si>
    <t>psia</t>
  </si>
  <si>
    <t>m3/s</t>
  </si>
  <si>
    <t>m3/m</t>
  </si>
  <si>
    <t>m3/hr</t>
  </si>
  <si>
    <t>cm3/s</t>
  </si>
  <si>
    <t>cm3/m</t>
  </si>
  <si>
    <t>cm3/hr</t>
  </si>
  <si>
    <t>L/s</t>
  </si>
  <si>
    <t>L/m</t>
  </si>
  <si>
    <t>L/hr</t>
  </si>
  <si>
    <t>in3/s</t>
  </si>
  <si>
    <t>in3/m</t>
  </si>
  <si>
    <t>in3/hr</t>
  </si>
  <si>
    <t>ft3/s</t>
  </si>
  <si>
    <t>ft3/m</t>
  </si>
  <si>
    <t>ft3/hr</t>
  </si>
  <si>
    <t>gal/s</t>
  </si>
  <si>
    <t>gal/m</t>
  </si>
  <si>
    <t>gal/hr</t>
  </si>
  <si>
    <t>Initial Value</t>
  </si>
  <si>
    <t>ccs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</si>
</sst>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EF7CA-E52B-4676-9B84-82CDBCCDCCA7}">
  <sheetPr codeName="Sheet1"/>
  <dimension ref="B2:I27"/>
  <sheetViews>
    <sheetView tabSelected="1" workbookViewId="0">
      <selection activeCell="I10" sqref="I10"/>
    </sheetView>
  </sheetViews>
  <sheetFormatPr defaultRowHeight="15" x14ac:dyDescent="0.25"/>
  <cols>
    <col min="2" max="2" width="22.85546875" bestFit="1" customWidth="1"/>
    <col min="3" max="3" width="10.5703125" bestFit="1" customWidth="1"/>
    <col min="4" max="4" width="4.5703125" bestFit="1" customWidth="1"/>
    <col min="5" max="5" width="22.85546875" bestFit="1" customWidth="1"/>
    <col min="6" max="6" width="10.5703125" bestFit="1" customWidth="1"/>
    <col min="7" max="7" width="11.7109375" bestFit="1" customWidth="1"/>
    <col min="8" max="8" width="22.85546875" customWidth="1"/>
  </cols>
  <sheetData>
    <row r="2" spans="2:9" x14ac:dyDescent="0.25">
      <c r="B2" t="s">
        <v>0</v>
      </c>
      <c r="C2" t="s">
        <v>1</v>
      </c>
    </row>
    <row r="3" spans="2:9" x14ac:dyDescent="0.25">
      <c r="B3" t="s">
        <v>4</v>
      </c>
      <c r="C3" cm="1">
        <f t="array" ref="C3">fluidStandardConditions(C2,"T")</f>
        <v>273.14999999999998</v>
      </c>
      <c r="D3" t="s">
        <v>2</v>
      </c>
    </row>
    <row r="4" spans="2:9" x14ac:dyDescent="0.25">
      <c r="B4" t="s">
        <v>5</v>
      </c>
      <c r="C4" cm="1">
        <f t="array" ref="C4">fluidStandardConditions(C2,"P")</f>
        <v>100000</v>
      </c>
      <c r="D4" t="s">
        <v>3</v>
      </c>
    </row>
    <row r="5" spans="2:9" x14ac:dyDescent="0.25">
      <c r="B5" t="s">
        <v>6</v>
      </c>
      <c r="C5" cm="1">
        <f t="array" ref="C5">fluidStandardConditions(C2,"T",FALSE)</f>
        <v>491.66999999999996</v>
      </c>
      <c r="D5" t="s">
        <v>8</v>
      </c>
    </row>
    <row r="6" spans="2:9" x14ac:dyDescent="0.25">
      <c r="B6" t="s">
        <v>7</v>
      </c>
      <c r="C6" cm="1">
        <f t="array" ref="C6">fluidStandardConditions(C2,"P",FALSE)</f>
        <v>14.5038</v>
      </c>
      <c r="D6" t="s">
        <v>9</v>
      </c>
    </row>
    <row r="9" spans="2:9" x14ac:dyDescent="0.25">
      <c r="G9" t="s">
        <v>28</v>
      </c>
      <c r="H9">
        <v>1</v>
      </c>
      <c r="I9" t="s">
        <v>29</v>
      </c>
    </row>
    <row r="10" spans="2:9" x14ac:dyDescent="0.25">
      <c r="G10" t="s">
        <v>10</v>
      </c>
      <c r="H10" cm="1">
        <f t="array" ref="H10">fluidVolumeFlowConvert($H$9,$I$9,G10)</f>
        <v>9.9999999999999995E-7</v>
      </c>
    </row>
    <row r="11" spans="2:9" x14ac:dyDescent="0.25">
      <c r="G11" t="s">
        <v>11</v>
      </c>
      <c r="H11" cm="1">
        <f t="array" ref="H11">fluidVolumeFlowConvert($H$9,$I$9,G11)</f>
        <v>5.9999999999999995E-5</v>
      </c>
    </row>
    <row r="12" spans="2:9" x14ac:dyDescent="0.25">
      <c r="G12" t="s">
        <v>12</v>
      </c>
      <c r="H12" cm="1">
        <f t="array" ref="H12">fluidVolumeFlowConvert($H$9,$I$9,G12)</f>
        <v>3.5999999999999999E-3</v>
      </c>
    </row>
    <row r="13" spans="2:9" x14ac:dyDescent="0.25">
      <c r="G13" t="s">
        <v>13</v>
      </c>
      <c r="H13" cm="1">
        <f t="array" ref="H13">fluidVolumeFlowConvert($H$9,$I$9,G13)</f>
        <v>1</v>
      </c>
    </row>
    <row r="14" spans="2:9" x14ac:dyDescent="0.25">
      <c r="G14" t="s">
        <v>14</v>
      </c>
      <c r="H14" cm="1">
        <f t="array" ref="H14">fluidVolumeFlowConvert($H$9,$I$9,G14)</f>
        <v>60</v>
      </c>
    </row>
    <row r="15" spans="2:9" x14ac:dyDescent="0.25">
      <c r="G15" t="s">
        <v>15</v>
      </c>
      <c r="H15" cm="1">
        <f t="array" ref="H15">fluidVolumeFlowConvert($H$9,$I$9,G15)</f>
        <v>3600</v>
      </c>
    </row>
    <row r="16" spans="2:9" x14ac:dyDescent="0.25">
      <c r="G16" t="s">
        <v>16</v>
      </c>
      <c r="H16" cm="1">
        <f t="array" ref="H16">fluidVolumeFlowConvert($H$9,$I$9,G16)</f>
        <v>1E-3</v>
      </c>
    </row>
    <row r="17" spans="7:8" x14ac:dyDescent="0.25">
      <c r="G17" t="s">
        <v>17</v>
      </c>
      <c r="H17" cm="1">
        <f t="array" ref="H17">fluidVolumeFlowConvert($H$9,$I$9,G17)</f>
        <v>0.06</v>
      </c>
    </row>
    <row r="18" spans="7:8" x14ac:dyDescent="0.25">
      <c r="G18" t="s">
        <v>18</v>
      </c>
      <c r="H18" cm="1">
        <f t="array" ref="H18">fluidVolumeFlowConvert($H$9,$I$9,G18)</f>
        <v>3.5999999999999996</v>
      </c>
    </row>
    <row r="19" spans="7:8" x14ac:dyDescent="0.25">
      <c r="G19" t="s">
        <v>19</v>
      </c>
      <c r="H19" cm="1">
        <f t="array" ref="H19">fluidVolumeFlowConvert($H$9,$I$9,G19)</f>
        <v>6.1023982425093055E-2</v>
      </c>
    </row>
    <row r="20" spans="7:8" x14ac:dyDescent="0.25">
      <c r="G20" t="s">
        <v>20</v>
      </c>
      <c r="H20" cm="1">
        <f t="array" ref="H20">fluidVolumeFlowConvert($H$9,$I$9,G20)</f>
        <v>3.6614389455055831</v>
      </c>
    </row>
    <row r="21" spans="7:8" x14ac:dyDescent="0.25">
      <c r="G21" t="s">
        <v>21</v>
      </c>
      <c r="H21" cm="1">
        <f t="array" ref="H21">fluidVolumeFlowConvert($H$9,$I$9,G21)</f>
        <v>219.686336730335</v>
      </c>
    </row>
    <row r="22" spans="7:8" x14ac:dyDescent="0.25">
      <c r="G22" t="s">
        <v>22</v>
      </c>
      <c r="H22" cm="1">
        <f t="array" ref="H22">fluidVolumeFlowConvert($H$9,$I$9,G22)</f>
        <v>3.5314724827664145E-5</v>
      </c>
    </row>
    <row r="23" spans="7:8" x14ac:dyDescent="0.25">
      <c r="G23" t="s">
        <v>23</v>
      </c>
      <c r="H23" cm="1">
        <f t="array" ref="H23">fluidVolumeFlowConvert($H$9,$I$9,G23)</f>
        <v>2.1188834896598485E-3</v>
      </c>
    </row>
    <row r="24" spans="7:8" x14ac:dyDescent="0.25">
      <c r="G24" t="s">
        <v>24</v>
      </c>
      <c r="H24" cm="1">
        <f t="array" ref="H24">fluidVolumeFlowConvert($H$9,$I$9,G24)</f>
        <v>0.12713300937959091</v>
      </c>
    </row>
    <row r="25" spans="7:8" x14ac:dyDescent="0.25">
      <c r="G25" t="s">
        <v>25</v>
      </c>
      <c r="H25" cm="1">
        <f t="array" ref="H25">fluidVolumeFlowConvert($H$9,$I$9,G25)</f>
        <v>2.6417200000000002E-4</v>
      </c>
    </row>
    <row r="26" spans="7:8" x14ac:dyDescent="0.25">
      <c r="G26" t="s">
        <v>26</v>
      </c>
      <c r="H26" cm="1">
        <f t="array" ref="H26">fluidVolumeFlowConvert($H$9,$I$9,G26)</f>
        <v>1.5850320000000001E-2</v>
      </c>
    </row>
    <row r="27" spans="7:8" x14ac:dyDescent="0.25">
      <c r="G27" t="s">
        <v>27</v>
      </c>
      <c r="H27" cm="1">
        <f t="array" ref="H27">fluidVolumeFlowConvert($H$9,$I$9,G27)</f>
        <v>0.95101920000000006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2022-08-19T02:16:22Z</dcterms:created>
  <dcterms:modified xsi:type="dcterms:W3CDTF">2023-04-27T03:04:44Z</dcterms:modified>
</cp:coreProperties>
</file>