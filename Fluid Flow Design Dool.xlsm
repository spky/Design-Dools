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trunk\Projects\Design Dools\Design-Dools\"/>
    </mc:Choice>
  </mc:AlternateContent>
  <xr:revisionPtr revIDLastSave="0" documentId="13_ncr:1_{4BB6ADE9-083E-4E18-90CA-92FE7EA2A3CE}" xr6:coauthVersionLast="47" xr6:coauthVersionMax="47" xr10:uidLastSave="{00000000-0000-0000-0000-000000000000}"/>
  <bookViews>
    <workbookView xWindow="-120" yWindow="-120" windowWidth="38640" windowHeight="21240" activeTab="2" xr2:uid="{1C68F3C9-BACF-4AE3-9327-A04E9D6F2DE9}"/>
  </bookViews>
  <sheets>
    <sheet name="No-Dependencies" sheetId="1" r:id="rId1"/>
    <sheet name="Unit Lists" sheetId="2" r:id="rId2"/>
    <sheet name="Cool-Prop-Dependen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" i="1" l="1" a="1"/>
  <c r="AE2" i="1" a="1"/>
  <c r="Y7" i="1" a="1"/>
  <c r="Y8" i="1" a="1"/>
  <c r="Y9" i="1" a="1"/>
  <c r="Y10" i="1" a="1"/>
  <c r="Y11" i="1" a="1"/>
  <c r="Y6" i="1" a="1"/>
  <c r="U27" i="1" a="1"/>
  <c r="U33" i="1" a="1"/>
  <c r="U39" i="1" a="1"/>
  <c r="U40" i="1" a="1"/>
  <c r="U32" i="1" a="1"/>
  <c r="U28" i="1" a="1"/>
  <c r="U34" i="1" a="1"/>
  <c r="U37" i="1" a="1"/>
  <c r="U29" i="1" a="1"/>
  <c r="U36" i="1" a="1"/>
  <c r="U31" i="1" a="1"/>
  <c r="U38" i="1" a="1"/>
  <c r="U35" i="1" a="1"/>
  <c r="U30" i="1" a="1"/>
  <c r="U26" i="1" a="1"/>
  <c r="S27" i="1" a="1"/>
  <c r="S33" i="1" a="1"/>
  <c r="S39" i="1" a="1"/>
  <c r="S28" i="1" a="1"/>
  <c r="S34" i="1" a="1"/>
  <c r="S29" i="1" a="1"/>
  <c r="S35" i="1" a="1"/>
  <c r="S36" i="1" a="1"/>
  <c r="S31" i="1" a="1"/>
  <c r="S37" i="1" a="1"/>
  <c r="S32" i="1" a="1"/>
  <c r="S38" i="1" a="1"/>
  <c r="S30" i="1" a="1"/>
  <c r="S40" i="1" a="1"/>
  <c r="S26" i="1" a="1"/>
  <c r="S6" i="1" a="1"/>
  <c r="S12" i="1" a="1"/>
  <c r="S18" i="1" a="1"/>
  <c r="S13" i="1" a="1"/>
  <c r="S19" i="1" a="1"/>
  <c r="S8" i="1" a="1"/>
  <c r="S14" i="1" a="1"/>
  <c r="S9" i="1" a="1"/>
  <c r="S10" i="1" a="1"/>
  <c r="S16" i="1" a="1"/>
  <c r="S17" i="1" a="1"/>
  <c r="S15" i="1" a="1"/>
  <c r="S7" i="1" a="1"/>
  <c r="S11" i="1" a="1"/>
  <c r="S5" i="1" a="1"/>
  <c r="N19" i="3" a="1"/>
  <c r="N18" i="3" a="1"/>
  <c r="T25" i="1" a="1"/>
  <c r="T24" i="1" a="1"/>
  <c r="N13" i="3" a="1"/>
  <c r="AO5" i="1" l="1"/>
  <c r="AE2" i="1"/>
  <c r="Y11" i="1"/>
  <c r="Y10" i="1"/>
  <c r="Y9" i="1"/>
  <c r="Y8" i="1"/>
  <c r="Y7" i="1"/>
  <c r="Y6" i="1"/>
  <c r="U30" i="1"/>
  <c r="U35" i="1"/>
  <c r="U38" i="1"/>
  <c r="U31" i="1"/>
  <c r="U36" i="1"/>
  <c r="U29" i="1"/>
  <c r="U37" i="1"/>
  <c r="U34" i="1"/>
  <c r="U28" i="1"/>
  <c r="U32" i="1"/>
  <c r="U40" i="1"/>
  <c r="U39" i="1"/>
  <c r="U33" i="1"/>
  <c r="U27" i="1"/>
  <c r="U26" i="1"/>
  <c r="S40" i="1"/>
  <c r="S30" i="1"/>
  <c r="S38" i="1"/>
  <c r="S32" i="1"/>
  <c r="S37" i="1"/>
  <c r="S31" i="1"/>
  <c r="S36" i="1"/>
  <c r="S35" i="1"/>
  <c r="S29" i="1"/>
  <c r="S34" i="1"/>
  <c r="S28" i="1"/>
  <c r="S39" i="1"/>
  <c r="S33" i="1"/>
  <c r="S27" i="1"/>
  <c r="S26" i="1"/>
  <c r="S11" i="1"/>
  <c r="S7" i="1"/>
  <c r="S15" i="1"/>
  <c r="S17" i="1"/>
  <c r="S16" i="1"/>
  <c r="S10" i="1"/>
  <c r="S9" i="1"/>
  <c r="S14" i="1"/>
  <c r="S8" i="1"/>
  <c r="S19" i="1"/>
  <c r="S13" i="1"/>
  <c r="S18" i="1"/>
  <c r="S12" i="1"/>
  <c r="S6" i="1"/>
  <c r="S5" i="1"/>
  <c r="N19" i="3"/>
  <c r="N18" i="3"/>
  <c r="T25" i="1"/>
  <c r="T24" i="1"/>
  <c r="N13" i="3"/>
  <c r="U5" i="1" a="1"/>
  <c r="N12" i="3" a="1"/>
  <c r="U5" i="1" l="1"/>
  <c r="N12" i="3"/>
  <c r="N16" i="3" a="1"/>
  <c r="AW5" i="1" a="1"/>
  <c r="AW11" i="1" a="1"/>
  <c r="AW6" i="1" a="1"/>
  <c r="AW7" i="1" a="1"/>
  <c r="AW8" i="1" a="1"/>
  <c r="AW10" i="1" a="1"/>
  <c r="AW9" i="1" a="1"/>
  <c r="AW4" i="1" a="1"/>
  <c r="N16" i="3" l="1"/>
  <c r="AW9" i="1"/>
  <c r="AW10" i="1"/>
  <c r="AW8" i="1"/>
  <c r="AW7" i="1"/>
  <c r="AW6" i="1"/>
  <c r="AW11" i="1"/>
  <c r="AW5" i="1"/>
  <c r="AW4" i="1"/>
  <c r="N14" i="3" a="1"/>
  <c r="N14" i="3" l="1"/>
  <c r="U9" i="1" a="1"/>
  <c r="U16" i="1" a="1"/>
  <c r="U12" i="1" a="1"/>
  <c r="U6" i="1" a="1"/>
  <c r="U14" i="1" a="1"/>
  <c r="U10" i="1" a="1"/>
  <c r="U7" i="1" a="1"/>
  <c r="U13" i="1" a="1"/>
  <c r="U11" i="1" a="1"/>
  <c r="U15" i="1" a="1"/>
  <c r="U19" i="1" a="1"/>
  <c r="U18" i="1" a="1"/>
  <c r="U8" i="1" a="1"/>
  <c r="U17" i="1" a="1"/>
  <c r="O4" i="1" a="1"/>
  <c r="O10" i="1" a="1"/>
  <c r="O5" i="1" a="1"/>
  <c r="O6" i="1" a="1"/>
  <c r="O7" i="1" a="1"/>
  <c r="O9" i="1" a="1"/>
  <c r="O8" i="1" a="1"/>
  <c r="O3" i="1" a="1"/>
  <c r="K4" i="1" a="1"/>
  <c r="K10" i="1" a="1"/>
  <c r="K16" i="1" a="1"/>
  <c r="K11" i="1" a="1"/>
  <c r="K12" i="1" a="1"/>
  <c r="K7" i="1" a="1"/>
  <c r="K13" i="1" a="1"/>
  <c r="K19" i="1" a="1"/>
  <c r="K9" i="1" a="1"/>
  <c r="K17" i="1" a="1"/>
  <c r="K14" i="1" a="1"/>
  <c r="K5" i="1" a="1"/>
  <c r="K6" i="1" a="1"/>
  <c r="K8" i="1" a="1"/>
  <c r="K18" i="1" a="1"/>
  <c r="K20" i="1" a="1"/>
  <c r="K15" i="1" a="1"/>
  <c r="K3" i="1" a="1"/>
  <c r="G4" i="1" a="1"/>
  <c r="G11" i="1" a="1"/>
  <c r="G9" i="1" a="1"/>
  <c r="G5" i="1" a="1"/>
  <c r="G6" i="1" a="1"/>
  <c r="G8" i="1" a="1"/>
  <c r="G10" i="1" a="1"/>
  <c r="G7" i="1" a="1"/>
  <c r="G3" i="1" a="1"/>
  <c r="AS5" i="1" a="1"/>
  <c r="AS11" i="1" a="1"/>
  <c r="AS17" i="1" a="1"/>
  <c r="AS23" i="1" a="1"/>
  <c r="AS12" i="1" a="1"/>
  <c r="AS18" i="1" a="1"/>
  <c r="AS24" i="1" a="1"/>
  <c r="AS7" i="1" a="1"/>
  <c r="AS19" i="1" a="1"/>
  <c r="AS8" i="1" a="1"/>
  <c r="AS26" i="1" a="1"/>
  <c r="AS9" i="1" a="1"/>
  <c r="AS27" i="1" a="1"/>
  <c r="AS22" i="1" a="1"/>
  <c r="AS6" i="1" a="1"/>
  <c r="AS13" i="1" a="1"/>
  <c r="AS25" i="1" a="1"/>
  <c r="AS14" i="1" a="1"/>
  <c r="AS15" i="1" a="1"/>
  <c r="AS21" i="1" a="1"/>
  <c r="AS10" i="1" a="1"/>
  <c r="AS16" i="1" a="1"/>
  <c r="AS28" i="1" a="1"/>
  <c r="AS20" i="1" a="1"/>
  <c r="AS4" i="1" a="1"/>
  <c r="U17" i="1" l="1"/>
  <c r="U8" i="1"/>
  <c r="U18" i="1"/>
  <c r="U19" i="1"/>
  <c r="U15" i="1"/>
  <c r="U11" i="1"/>
  <c r="U13" i="1"/>
  <c r="U7" i="1"/>
  <c r="U10" i="1"/>
  <c r="U14" i="1"/>
  <c r="U6" i="1"/>
  <c r="U12" i="1"/>
  <c r="U16" i="1"/>
  <c r="U9" i="1"/>
  <c r="O8" i="1"/>
  <c r="O9" i="1"/>
  <c r="O7" i="1"/>
  <c r="O6" i="1"/>
  <c r="O5" i="1"/>
  <c r="O10" i="1"/>
  <c r="O4" i="1"/>
  <c r="O3" i="1"/>
  <c r="K15" i="1"/>
  <c r="K20" i="1"/>
  <c r="K18" i="1"/>
  <c r="K8" i="1"/>
  <c r="K6" i="1"/>
  <c r="K5" i="1"/>
  <c r="K14" i="1"/>
  <c r="K17" i="1"/>
  <c r="K9" i="1"/>
  <c r="K19" i="1"/>
  <c r="K13" i="1"/>
  <c r="K7" i="1"/>
  <c r="K12" i="1"/>
  <c r="K11" i="1"/>
  <c r="K16" i="1"/>
  <c r="K10" i="1"/>
  <c r="K4" i="1"/>
  <c r="K3" i="1"/>
  <c r="G7" i="1"/>
  <c r="G10" i="1"/>
  <c r="G8" i="1"/>
  <c r="G6" i="1"/>
  <c r="G5" i="1"/>
  <c r="G9" i="1"/>
  <c r="G11" i="1"/>
  <c r="G4" i="1"/>
  <c r="G3" i="1"/>
  <c r="AS20" i="1"/>
  <c r="AS28" i="1"/>
  <c r="AS16" i="1"/>
  <c r="AS10" i="1"/>
  <c r="AS21" i="1"/>
  <c r="AS15" i="1"/>
  <c r="AS14" i="1"/>
  <c r="AS25" i="1"/>
  <c r="AS13" i="1"/>
  <c r="AS6" i="1"/>
  <c r="AS22" i="1"/>
  <c r="AS27" i="1"/>
  <c r="AS9" i="1"/>
  <c r="AS26" i="1"/>
  <c r="AS8" i="1"/>
  <c r="AS19" i="1"/>
  <c r="AS7" i="1"/>
  <c r="AS24" i="1"/>
  <c r="AS18" i="1"/>
  <c r="AS12" i="1"/>
  <c r="AS23" i="1"/>
  <c r="AS17" i="1"/>
  <c r="AS11" i="1"/>
  <c r="AS5" i="1"/>
  <c r="AS4" i="1"/>
  <c r="AH6" i="2"/>
  <c r="AH3" i="2"/>
  <c r="AH19" i="2"/>
  <c r="AH18" i="2"/>
  <c r="AH16" i="2"/>
  <c r="AH29" i="2" s="1"/>
  <c r="AH4" i="2"/>
  <c r="AH5" i="2"/>
  <c r="AH25" i="2" s="1"/>
  <c r="AH7" i="2"/>
  <c r="AH8" i="2"/>
  <c r="AG37" i="2" s="1"/>
  <c r="AH9" i="2"/>
  <c r="AH26" i="2" s="1"/>
  <c r="AH10" i="2"/>
  <c r="AH27" i="2" s="1"/>
  <c r="AH11" i="2"/>
  <c r="AH28" i="2" s="1"/>
  <c r="AH12" i="2"/>
  <c r="AH13" i="2"/>
  <c r="AH14" i="2"/>
  <c r="AH15" i="2"/>
  <c r="AH17" i="2"/>
  <c r="AH2" i="2"/>
  <c r="AD32" i="2"/>
  <c r="AD30" i="2"/>
  <c r="AD28" i="2"/>
  <c r="AD26" i="2"/>
  <c r="AD23" i="2"/>
  <c r="AD21" i="2"/>
  <c r="AD19" i="2"/>
  <c r="AD17" i="2"/>
  <c r="AB13" i="2"/>
  <c r="AC3" i="2"/>
  <c r="AC4" i="2"/>
  <c r="AB17" i="2" s="1"/>
  <c r="AD27" i="2" s="1"/>
  <c r="AC5" i="2"/>
  <c r="AB18" i="2" s="1"/>
  <c r="AD18" i="2" s="1"/>
  <c r="AC6" i="2"/>
  <c r="AB21" i="2" s="1"/>
  <c r="AC7" i="2"/>
  <c r="AB24" i="2" s="1"/>
  <c r="AC8" i="2"/>
  <c r="AB25" i="2" s="1"/>
  <c r="AC9" i="2"/>
  <c r="AB26" i="2" s="1"/>
  <c r="AC2" i="2"/>
  <c r="T20" i="2"/>
  <c r="W16" i="2" s="1"/>
  <c r="T23" i="2"/>
  <c r="W34" i="2" s="1"/>
  <c r="T26" i="2"/>
  <c r="W46" i="2" s="1"/>
  <c r="S24" i="2"/>
  <c r="T24" i="2" s="1"/>
  <c r="W40" i="2" s="1"/>
  <c r="S25" i="2"/>
  <c r="T25" i="2" s="1"/>
  <c r="W45" i="2" s="1"/>
  <c r="S19" i="2"/>
  <c r="T19" i="2" s="1"/>
  <c r="W10" i="2" s="1"/>
  <c r="S20" i="2"/>
  <c r="S21" i="2"/>
  <c r="T21" i="2" s="1"/>
  <c r="W22" i="2" s="1"/>
  <c r="S22" i="2"/>
  <c r="T22" i="2" s="1"/>
  <c r="W28" i="2" s="1"/>
  <c r="S23" i="2"/>
  <c r="S18" i="2"/>
  <c r="T18" i="2" s="1"/>
  <c r="S17" i="2"/>
  <c r="T17" i="2" s="1"/>
  <c r="W44" i="2" s="1"/>
  <c r="S11" i="2"/>
  <c r="T11" i="2" s="1"/>
  <c r="W9" i="2" s="1"/>
  <c r="S12" i="2"/>
  <c r="T12" i="2" s="1"/>
  <c r="W15" i="2" s="1"/>
  <c r="S13" i="2"/>
  <c r="T13" i="2" s="1"/>
  <c r="W21" i="2" s="1"/>
  <c r="S14" i="2"/>
  <c r="T14" i="2" s="1"/>
  <c r="W27" i="2" s="1"/>
  <c r="S15" i="2"/>
  <c r="T15" i="2" s="1"/>
  <c r="W33" i="2" s="1"/>
  <c r="S16" i="2"/>
  <c r="T16" i="2" s="1"/>
  <c r="W39" i="2" s="1"/>
  <c r="S10" i="2"/>
  <c r="T10" i="2" s="1"/>
  <c r="S3" i="2"/>
  <c r="T3" i="2" s="1"/>
  <c r="W8" i="2" s="1"/>
  <c r="S4" i="2"/>
  <c r="T4" i="2" s="1"/>
  <c r="W14" i="2" s="1"/>
  <c r="S5" i="2"/>
  <c r="T5" i="2" s="1"/>
  <c r="W20" i="2" s="1"/>
  <c r="S6" i="2"/>
  <c r="T6" i="2" s="1"/>
  <c r="W26" i="2" s="1"/>
  <c r="S7" i="2"/>
  <c r="T7" i="2" s="1"/>
  <c r="W32" i="2" s="1"/>
  <c r="S8" i="2"/>
  <c r="T8" i="2" s="1"/>
  <c r="W38" i="2" s="1"/>
  <c r="S9" i="2"/>
  <c r="T9" i="2" s="1"/>
  <c r="W43" i="2" s="1"/>
  <c r="S2" i="2"/>
  <c r="T2" i="2" s="1"/>
  <c r="Q3" i="2"/>
  <c r="Q4" i="2"/>
  <c r="Q2" i="2"/>
  <c r="Q5" i="2" s="1"/>
  <c r="E21" i="2"/>
  <c r="E10" i="2"/>
  <c r="H6" i="2"/>
  <c r="E12" i="2"/>
  <c r="E23" i="2"/>
  <c r="N3" i="2"/>
  <c r="N4" i="2"/>
  <c r="N5" i="2"/>
  <c r="N6" i="2"/>
  <c r="N7" i="2"/>
  <c r="N8" i="2"/>
  <c r="N9" i="2"/>
  <c r="N2" i="2"/>
  <c r="BA10" i="1" a="1"/>
  <c r="BA16" i="1" a="1"/>
  <c r="BA5" i="1" a="1"/>
  <c r="BA11" i="1" a="1"/>
  <c r="BA17" i="1" a="1"/>
  <c r="BA12" i="1" a="1"/>
  <c r="BA7" i="1" a="1"/>
  <c r="BA18" i="1" a="1"/>
  <c r="BA9" i="1" a="1"/>
  <c r="BA6" i="1" a="1"/>
  <c r="BA13" i="1" a="1"/>
  <c r="BA8" i="1" a="1"/>
  <c r="BA14" i="1" a="1"/>
  <c r="BA15" i="1" a="1"/>
  <c r="BA4" i="1" a="1"/>
  <c r="AL2" i="1" a="1"/>
  <c r="AL8" i="1" a="1"/>
  <c r="AL3" i="1" a="1"/>
  <c r="AL9" i="1" a="1"/>
  <c r="AL4" i="1" a="1"/>
  <c r="AL10" i="1" a="1"/>
  <c r="AL5" i="1" a="1"/>
  <c r="AL6" i="1" a="1"/>
  <c r="AL7" i="1" a="1"/>
  <c r="AL83" i="1" a="1"/>
  <c r="AL89" i="1" a="1"/>
  <c r="AL95" i="1" a="1"/>
  <c r="AL101" i="1" a="1"/>
  <c r="AL102" i="1" a="1"/>
  <c r="AL103" i="1" a="1"/>
  <c r="AL104" i="1" a="1"/>
  <c r="AL100" i="1" a="1"/>
  <c r="AL97" i="1" a="1"/>
  <c r="AL84" i="1" a="1"/>
  <c r="AL90" i="1" a="1"/>
  <c r="AL96" i="1" a="1"/>
  <c r="AL92" i="1" a="1"/>
  <c r="AL99" i="1" a="1"/>
  <c r="AL88" i="1" a="1"/>
  <c r="AL91" i="1" a="1"/>
  <c r="AL93" i="1" a="1"/>
  <c r="AL94" i="1" a="1"/>
  <c r="AL85" i="1" a="1"/>
  <c r="AL105" i="1" a="1"/>
  <c r="AL86" i="1" a="1"/>
  <c r="AL98" i="1" a="1"/>
  <c r="AL87" i="1" a="1"/>
  <c r="AL106" i="1" a="1"/>
  <c r="AL82" i="1" a="1"/>
  <c r="AL78" i="1" a="1"/>
  <c r="AL79" i="1" a="1"/>
  <c r="AL77" i="1" a="1"/>
  <c r="AL68" i="1" a="1"/>
  <c r="AL74" i="1" a="1"/>
  <c r="AL71" i="1" a="1"/>
  <c r="AL72" i="1" a="1"/>
  <c r="AL69" i="1" a="1"/>
  <c r="AL70" i="1" a="1"/>
  <c r="AL73" i="1" a="1"/>
  <c r="AL67" i="1" a="1"/>
  <c r="AL32" i="1" a="1"/>
  <c r="AL30" i="1" a="1"/>
  <c r="BA15" i="1" l="1"/>
  <c r="BA14" i="1"/>
  <c r="BA8" i="1"/>
  <c r="BA13" i="1"/>
  <c r="BA6" i="1"/>
  <c r="BA9" i="1"/>
  <c r="BA18" i="1"/>
  <c r="BA7" i="1"/>
  <c r="BA12" i="1"/>
  <c r="BA17" i="1"/>
  <c r="BA11" i="1"/>
  <c r="BA5" i="1"/>
  <c r="BA16" i="1"/>
  <c r="BA10" i="1"/>
  <c r="BA4" i="1"/>
  <c r="AH30" i="2"/>
  <c r="AG33" i="2"/>
  <c r="AG35" i="2"/>
  <c r="AG34" i="2"/>
  <c r="AG36" i="2"/>
  <c r="AD31" i="2"/>
  <c r="AD20" i="2"/>
  <c r="AD29" i="2"/>
  <c r="AD22" i="2"/>
  <c r="AC10" i="2"/>
  <c r="N10" i="2"/>
  <c r="W23" i="2"/>
  <c r="W47" i="2"/>
  <c r="W35" i="2"/>
  <c r="W41" i="2"/>
  <c r="W29" i="2"/>
  <c r="AB14" i="2"/>
  <c r="AD16" i="2" s="1"/>
  <c r="T31" i="2"/>
  <c r="W3" i="2"/>
  <c r="T30" i="2"/>
  <c r="W2" i="2"/>
  <c r="T29" i="2"/>
  <c r="T27" i="2"/>
  <c r="W11" i="2"/>
  <c r="W17" i="2"/>
  <c r="W4" i="2"/>
  <c r="AL7" i="1"/>
  <c r="AL6" i="1"/>
  <c r="AL5" i="1"/>
  <c r="AL10" i="1"/>
  <c r="AL4" i="1"/>
  <c r="AL9" i="1"/>
  <c r="AL3" i="1"/>
  <c r="AL8" i="1"/>
  <c r="AL2" i="1"/>
  <c r="AL106" i="1"/>
  <c r="AL87" i="1"/>
  <c r="AL98" i="1"/>
  <c r="AL86" i="1"/>
  <c r="AL105" i="1"/>
  <c r="AL85" i="1"/>
  <c r="AL94" i="1"/>
  <c r="AL93" i="1"/>
  <c r="AL91" i="1"/>
  <c r="AL88" i="1"/>
  <c r="AL99" i="1"/>
  <c r="AL92" i="1"/>
  <c r="AL96" i="1"/>
  <c r="AL90" i="1"/>
  <c r="AL84" i="1"/>
  <c r="AL97" i="1"/>
  <c r="AL100" i="1"/>
  <c r="AL104" i="1"/>
  <c r="AL103" i="1"/>
  <c r="AL102" i="1"/>
  <c r="AL101" i="1"/>
  <c r="AL95" i="1"/>
  <c r="AL89" i="1"/>
  <c r="AL83" i="1"/>
  <c r="AL82" i="1"/>
  <c r="AL79" i="1"/>
  <c r="AL78" i="1"/>
  <c r="AL77" i="1"/>
  <c r="AL73" i="1"/>
  <c r="AL70" i="1"/>
  <c r="AL69" i="1"/>
  <c r="AL72" i="1"/>
  <c r="AL71" i="1"/>
  <c r="AL74" i="1"/>
  <c r="AL68" i="1"/>
  <c r="AL67" i="1"/>
  <c r="AL32" i="1"/>
  <c r="AL30" i="1"/>
  <c r="AO15" i="1"/>
  <c r="AG38" i="2" l="1"/>
  <c r="AD25" i="2"/>
  <c r="W5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3" i="2"/>
  <c r="H4" i="2"/>
  <c r="H5" i="2"/>
  <c r="H7" i="2"/>
  <c r="H8" i="2"/>
  <c r="H9" i="2"/>
  <c r="H10" i="2"/>
  <c r="H2" i="2"/>
  <c r="H11" i="2" s="1"/>
  <c r="E3" i="2"/>
  <c r="E4" i="2"/>
  <c r="E5" i="2"/>
  <c r="E6" i="2"/>
  <c r="E7" i="2"/>
  <c r="E8" i="2"/>
  <c r="E9" i="2"/>
  <c r="E11" i="2"/>
  <c r="E13" i="2"/>
  <c r="E14" i="2"/>
  <c r="E15" i="2"/>
  <c r="E16" i="2"/>
  <c r="E17" i="2"/>
  <c r="E18" i="2"/>
  <c r="E19" i="2"/>
  <c r="E20" i="2"/>
  <c r="E22" i="2"/>
  <c r="E24" i="2"/>
  <c r="E2" i="2"/>
  <c r="B3" i="2"/>
  <c r="B4" i="2"/>
  <c r="B5" i="2"/>
  <c r="B6" i="2"/>
  <c r="B7" i="2"/>
  <c r="B8" i="2"/>
  <c r="B9" i="2"/>
  <c r="B10" i="2"/>
  <c r="B2" i="2"/>
  <c r="AE3" i="1"/>
  <c r="AE4" i="1"/>
  <c r="AL57" i="1" a="1"/>
  <c r="AL25" i="1" a="1"/>
  <c r="AL21" i="1" a="1"/>
  <c r="AL13" i="1" a="1"/>
  <c r="AL56" i="1" a="1"/>
  <c r="AL36" i="1" a="1"/>
  <c r="C5" i="1" a="1"/>
  <c r="C3" i="1" a="1"/>
  <c r="AE1" i="1" a="1"/>
  <c r="AL19" i="1" a="1"/>
  <c r="AL40" i="1" a="1"/>
  <c r="AL14" i="1" a="1"/>
  <c r="AL59" i="1" a="1"/>
  <c r="AL48" i="1" a="1"/>
  <c r="AL43" i="1" a="1"/>
  <c r="AL20" i="1" a="1"/>
  <c r="AL41" i="1" a="1"/>
  <c r="AL52" i="1" a="1"/>
  <c r="AL28" i="1" a="1"/>
  <c r="AO3" i="1" a="1"/>
  <c r="AL29" i="1" a="1"/>
  <c r="AL47" i="1" a="1"/>
  <c r="C6" i="1" a="1"/>
  <c r="AL50" i="1" a="1"/>
  <c r="AL39" i="1" a="1"/>
  <c r="AL38" i="1" a="1"/>
  <c r="AL33" i="1" a="1"/>
  <c r="AL23" i="1" a="1"/>
  <c r="AL44" i="1" a="1"/>
  <c r="AL60" i="1" a="1"/>
  <c r="AO11" i="1" a="1"/>
  <c r="AL16" i="1" a="1"/>
  <c r="AL18" i="1" a="1"/>
  <c r="AL15" i="1" a="1"/>
  <c r="AO8" i="1" a="1"/>
  <c r="AL37" i="1" a="1"/>
  <c r="AL42" i="1" a="1"/>
  <c r="AL53" i="1" a="1"/>
  <c r="AL58" i="1" a="1"/>
  <c r="AL54" i="1" a="1"/>
  <c r="AL22" i="1" a="1"/>
  <c r="AL26" i="1" a="1"/>
  <c r="AL64" i="1" a="1"/>
  <c r="AL61" i="1" a="1"/>
  <c r="AL55" i="1" a="1"/>
  <c r="C4" i="1" a="1"/>
  <c r="AL24" i="1" a="1"/>
  <c r="AL27" i="1" a="1"/>
  <c r="AL31" i="1" a="1"/>
  <c r="AL17" i="1" a="1"/>
  <c r="C9" i="1" a="1"/>
  <c r="AL51" i="1" a="1"/>
  <c r="AL49" i="1" a="1"/>
  <c r="K17" i="2" l="1"/>
  <c r="E25" i="2"/>
  <c r="B11" i="2"/>
  <c r="AO11" i="1"/>
  <c r="AO8" i="1"/>
  <c r="AO13" i="1"/>
  <c r="AO3" i="1"/>
  <c r="AL64" i="1"/>
  <c r="AL57" i="1"/>
  <c r="AL51" i="1"/>
  <c r="AL50" i="1"/>
  <c r="AL49" i="1"/>
  <c r="AL15" i="1"/>
  <c r="AL26" i="1"/>
  <c r="AL33" i="1"/>
  <c r="AL25" i="1"/>
  <c r="AL19" i="1"/>
  <c r="AL13" i="1"/>
  <c r="AL21" i="1"/>
  <c r="AL56" i="1"/>
  <c r="AL20" i="1"/>
  <c r="AL40" i="1"/>
  <c r="AL27" i="1"/>
  <c r="AL42" i="1"/>
  <c r="AL55" i="1"/>
  <c r="AL54" i="1"/>
  <c r="AL37" i="1"/>
  <c r="AL29" i="1"/>
  <c r="AL43" i="1"/>
  <c r="AL14" i="1"/>
  <c r="AL61" i="1"/>
  <c r="AL60" i="1"/>
  <c r="AL48" i="1"/>
  <c r="AL24" i="1"/>
  <c r="AL53" i="1"/>
  <c r="AL39" i="1"/>
  <c r="AL23" i="1"/>
  <c r="AL17" i="1"/>
  <c r="AL36" i="1"/>
  <c r="AL41" i="1"/>
  <c r="AL31" i="1"/>
  <c r="AL18" i="1"/>
  <c r="AL59" i="1"/>
  <c r="AL47" i="1"/>
  <c r="AL58" i="1"/>
  <c r="AL52" i="1"/>
  <c r="AL44" i="1"/>
  <c r="AL38" i="1"/>
  <c r="AL28" i="1"/>
  <c r="AL22" i="1"/>
  <c r="AL16" i="1"/>
  <c r="AG2" i="1"/>
  <c r="AE1" i="1"/>
  <c r="AB6" i="1"/>
  <c r="AB9" i="1"/>
  <c r="AB8" i="1"/>
  <c r="AB11" i="1"/>
  <c r="AB10" i="1"/>
  <c r="AB7" i="1"/>
  <c r="C9" i="1"/>
  <c r="C3" i="1"/>
  <c r="C6" i="1"/>
  <c r="C5" i="1"/>
  <c r="C4" i="1"/>
  <c r="AO16" i="1" a="1"/>
  <c r="AO14" i="1" a="1"/>
  <c r="AO16" i="1" l="1"/>
  <c r="AO14" i="1"/>
  <c r="AE5" i="1"/>
  <c r="AE6" i="1" s="1"/>
  <c r="AE7" i="1" a="1"/>
  <c r="AE7" i="1" l="1"/>
  <c r="AH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<sst xmlns="http://schemas.openxmlformats.org/spreadsheetml/2006/main" count="511" uniqueCount="211">
  <si>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</si>
  <si>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</si>
  <si>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</si>
  <si>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</si>
  <si>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</si>
  <si>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</si>
  <si>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</si>
  <si>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</si>
  <si>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</si>
  <si>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</si>
  <si>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</si>
  <si>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m3/hr</t>
  </si>
  <si>
    <t>cm3/s</t>
  </si>
  <si>
    <t>cm3/hr</t>
  </si>
  <si>
    <t>L/s</t>
  </si>
  <si>
    <t>L/hr</t>
  </si>
  <si>
    <t>in3/s</t>
  </si>
  <si>
    <t>in3/hr</t>
  </si>
  <si>
    <t>ft3/s</t>
  </si>
  <si>
    <t>ft3/hr</t>
  </si>
  <si>
    <t>gal/s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</si>
  <si>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</si>
  <si>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</si>
  <si>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</si>
  <si>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</si>
  <si>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</si>
  <si>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</si>
  <si>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</si>
  <si>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</si>
  <si>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</si>
  <si>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</si>
  <si>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</si>
  <si>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</si>
  <si>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</si>
  <si>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</si>
  <si>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</si>
  <si>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kg/hr</t>
  </si>
  <si>
    <t>g/s</t>
  </si>
  <si>
    <t>g/hr</t>
  </si>
  <si>
    <t>lbm/s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</si>
  <si>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</si>
  <si>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</si>
  <si>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</si>
  <si>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</si>
  <si>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</si>
  <si>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</si>
  <si>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</si>
  <si>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</si>
  <si>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</si>
  <si>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</si>
  <si>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</si>
  <si>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</si>
  <si>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</si>
  <si>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</si>
  <si>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</si>
  <si>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</si>
  <si>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</si>
  <si>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</si>
  <si>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</si>
  <si>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</si>
  <si>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</si>
  <si>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</si>
  <si>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</si>
  <si>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</si>
  <si>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</si>
  <si>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</si>
  <si>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</si>
  <si>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</si>
  <si>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</si>
  <si>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</si>
  <si>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</si>
  <si>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</si>
  <si>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</si>
  <si>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</si>
  <si>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</si>
  <si>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</si>
  <si>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</si>
  <si>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</si>
  <si>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</si>
  <si>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</si>
  <si>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</si>
  <si>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</si>
  <si>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</si>
  <si>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</si>
  <si>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floogle</t>
  </si>
  <si>
    <t>General fluidConvert Check</t>
  </si>
  <si>
    <t>Initial Mass Flow</t>
  </si>
  <si>
    <t>Standard Flow</t>
  </si>
  <si>
    <t>N2</t>
  </si>
  <si>
    <t>Initial Volume Flow</t>
  </si>
  <si>
    <t>Volume Flow</t>
  </si>
  <si>
    <t>Initial Density</t>
  </si>
  <si>
    <t>Density</t>
  </si>
  <si>
    <t>Initial Standard Volume Flow</t>
  </si>
  <si>
    <t>Standard Volume Flow</t>
  </si>
  <si>
    <t>psi</t>
  </si>
  <si>
    <t>Length Units</t>
  </si>
  <si>
    <t>m</t>
  </si>
  <si>
    <t>mm</t>
  </si>
  <si>
    <t>km</t>
  </si>
  <si>
    <t>cm</t>
  </si>
  <si>
    <t>in</t>
  </si>
  <si>
    <t>ft</t>
  </si>
  <si>
    <t>yd</t>
  </si>
  <si>
    <t>mi</t>
  </si>
  <si>
    <t>Speed Units</t>
  </si>
  <si>
    <t>Time Units</t>
  </si>
  <si>
    <t>s</t>
  </si>
  <si>
    <t>min</t>
  </si>
  <si>
    <t>hr</t>
  </si>
  <si>
    <t>kg/min</t>
  </si>
  <si>
    <t>g/min</t>
  </si>
  <si>
    <t>lbm/min</t>
  </si>
  <si>
    <t>m3/min</t>
  </si>
  <si>
    <t>cm3/min</t>
  </si>
  <si>
    <t>L/min</t>
  </si>
  <si>
    <t>in3/min</t>
  </si>
  <si>
    <t>ft3/min</t>
  </si>
  <si>
    <t>gal/min</t>
  </si>
  <si>
    <t>gpm</t>
  </si>
  <si>
    <t>lpm</t>
  </si>
  <si>
    <t>g/cm3</t>
  </si>
  <si>
    <t>lps</t>
  </si>
  <si>
    <t>gps</t>
  </si>
  <si>
    <t>mph</t>
  </si>
  <si>
    <t>Unit Type Check - Mass</t>
  </si>
  <si>
    <t>Unit Type Check - Volume</t>
  </si>
  <si>
    <t>Unit Type Check - Density</t>
  </si>
  <si>
    <t xml:space="preserve">Unit Type Check - Standard Volume Flow </t>
  </si>
  <si>
    <t>Unit Type Check - Not Recognized</t>
  </si>
  <si>
    <t>Unit Type Check - Length</t>
  </si>
  <si>
    <t>Unit Type Check - Time</t>
  </si>
  <si>
    <t>km/s</t>
  </si>
  <si>
    <t>m/s</t>
  </si>
  <si>
    <t>cm/s</t>
  </si>
  <si>
    <t>mm/s</t>
  </si>
  <si>
    <t>in/s</t>
  </si>
  <si>
    <t>ft/s</t>
  </si>
  <si>
    <t>yd/s</t>
  </si>
  <si>
    <t>mi/s</t>
  </si>
  <si>
    <t>km/min</t>
  </si>
  <si>
    <t>m/min</t>
  </si>
  <si>
    <t>cm/min</t>
  </si>
  <si>
    <t>mm/min</t>
  </si>
  <si>
    <t>in/min</t>
  </si>
  <si>
    <t>ft/min</t>
  </si>
  <si>
    <t>yd/min</t>
  </si>
  <si>
    <t>mi/min</t>
  </si>
  <si>
    <t>km/hr</t>
  </si>
  <si>
    <t>m/hr</t>
  </si>
  <si>
    <t>cm/hr</t>
  </si>
  <si>
    <t>mm/hr</t>
  </si>
  <si>
    <t>in/hr</t>
  </si>
  <si>
    <t>ft/hr</t>
  </si>
  <si>
    <t>yd/hr</t>
  </si>
  <si>
    <t>mi/hr</t>
  </si>
  <si>
    <t>Unit Type Check - Speed</t>
  </si>
  <si>
    <t>VBA per min Case</t>
  </si>
  <si>
    <t>VBA per sec Case</t>
  </si>
  <si>
    <t>VBA per hr Case</t>
  </si>
  <si>
    <t>VBA km Case</t>
  </si>
  <si>
    <t>km Speed Units</t>
  </si>
  <si>
    <t>m Speed Units</t>
  </si>
  <si>
    <t>cm Speed Units</t>
  </si>
  <si>
    <t>VBA m Case</t>
  </si>
  <si>
    <t>VBA cm Case</t>
  </si>
  <si>
    <t>mm Speed Units</t>
  </si>
  <si>
    <t>VBA mm Case</t>
  </si>
  <si>
    <t>in Speed Units</t>
  </si>
  <si>
    <t>VBA in Case</t>
  </si>
  <si>
    <t>ft Speed Units</t>
  </si>
  <si>
    <t>VBA ft Case</t>
  </si>
  <si>
    <t>VBA yd Case</t>
  </si>
  <si>
    <t>VBA mi Case</t>
  </si>
  <si>
    <t>Fluid Speed Convert Check</t>
  </si>
  <si>
    <t>Test Value</t>
  </si>
  <si>
    <t>Temperature Units</t>
  </si>
  <si>
    <t>C</t>
  </si>
  <si>
    <t>°F</t>
  </si>
  <si>
    <t>°C</t>
  </si>
  <si>
    <t>Rank</t>
  </si>
  <si>
    <t>Rankine</t>
  </si>
  <si>
    <t>VBA Fahrenheit Case</t>
  </si>
  <si>
    <t>Fahrenheit Units</t>
  </si>
  <si>
    <t>Celsius Units</t>
  </si>
  <si>
    <t>Kelvin Units</t>
  </si>
  <si>
    <t>Rankine Units</t>
  </si>
  <si>
    <t>VBA Celsius Case</t>
  </si>
  <si>
    <t>VBA Kelvin Case</t>
  </si>
  <si>
    <t>VBA Rankine Case</t>
  </si>
  <si>
    <t>Variable Name</t>
  </si>
  <si>
    <t>from_unit_unit</t>
  </si>
  <si>
    <t>to_unit_unit</t>
  </si>
  <si>
    <t>from unit assignment</t>
  </si>
  <si>
    <t>Pressure Units</t>
  </si>
  <si>
    <t>psig</t>
  </si>
  <si>
    <t>psid</t>
  </si>
  <si>
    <t>lbf/in2</t>
  </si>
  <si>
    <t>lb/in2</t>
  </si>
  <si>
    <t>mmHg</t>
  </si>
  <si>
    <t>atm</t>
  </si>
  <si>
    <t>MPa</t>
  </si>
  <si>
    <t>GPa</t>
  </si>
  <si>
    <t>torr</t>
  </si>
  <si>
    <t>bar</t>
  </si>
  <si>
    <t>Torr</t>
  </si>
  <si>
    <t>psi units</t>
  </si>
  <si>
    <t>ksi</t>
  </si>
  <si>
    <t>Temperature Convert Check</t>
  </si>
  <si>
    <t>Pressure Convert Check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</si>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</sst>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BB106"/>
  <sheetViews>
    <sheetView zoomScale="85" zoomScaleNormal="85" workbookViewId="0">
      <selection activeCell="G67" sqref="G66:G67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9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12.28515625" bestFit="1" customWidth="1"/>
    <col min="21" max="21" width="8.42578125" bestFit="1" customWidth="1"/>
    <col min="22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  <col min="40" max="40" width="26.5703125" bestFit="1" customWidth="1"/>
    <col min="41" max="41" width="12.28515625" bestFit="1" customWidth="1"/>
    <col min="48" max="48" width="10.85546875" bestFit="1" customWidth="1"/>
    <col min="49" max="49" width="36.42578125" bestFit="1" customWidth="1"/>
    <col min="52" max="52" width="22.42578125" bestFit="1" customWidth="1"/>
    <col min="53" max="53" width="53.7109375" bestFit="1" customWidth="1"/>
  </cols>
  <sheetData>
    <row r="1" spans="2:54" x14ac:dyDescent="0.25">
      <c r="G1" t="s">
        <v>34</v>
      </c>
      <c r="K1" t="s">
        <v>32</v>
      </c>
      <c r="O1" t="s">
        <v>33</v>
      </c>
      <c r="S1" t="s">
        <v>42</v>
      </c>
      <c r="Y1" t="s">
        <v>78</v>
      </c>
      <c r="AD1" t="s">
        <v>63</v>
      </c>
      <c r="AE1" cm="1">
        <f t="array" ref="AE1">fluidMassFlowConvert(Y2,Z2,AF1)</f>
        <v>1E-3</v>
      </c>
      <c r="AF1" t="s">
        <v>35</v>
      </c>
      <c r="AK1" t="s">
        <v>125</v>
      </c>
      <c r="AN1" t="s">
        <v>85</v>
      </c>
      <c r="AR1" t="s">
        <v>175</v>
      </c>
      <c r="AS1">
        <v>100</v>
      </c>
      <c r="AT1" t="s">
        <v>133</v>
      </c>
      <c r="AW1" t="s">
        <v>208</v>
      </c>
      <c r="AZ1" t="s">
        <v>209</v>
      </c>
    </row>
    <row r="2" spans="2:54" x14ac:dyDescent="0.25">
      <c r="B2" t="s">
        <v>0</v>
      </c>
      <c r="C2" t="s">
        <v>1</v>
      </c>
      <c r="F2" t="s">
        <v>22</v>
      </c>
      <c r="G2">
        <v>1</v>
      </c>
      <c r="H2" t="s">
        <v>35</v>
      </c>
      <c r="J2" t="s">
        <v>22</v>
      </c>
      <c r="K2">
        <v>100</v>
      </c>
      <c r="L2" t="s">
        <v>23</v>
      </c>
      <c r="N2" t="s">
        <v>22</v>
      </c>
      <c r="O2">
        <v>1</v>
      </c>
      <c r="P2" t="s">
        <v>24</v>
      </c>
      <c r="R2" t="s">
        <v>22</v>
      </c>
      <c r="S2">
        <v>1</v>
      </c>
      <c r="T2" t="s">
        <v>37</v>
      </c>
      <c r="X2" t="s">
        <v>22</v>
      </c>
      <c r="Y2">
        <v>1</v>
      </c>
      <c r="Z2" t="s">
        <v>37</v>
      </c>
      <c r="AD2" t="s">
        <v>64</v>
      </c>
      <c r="AE2" cm="1">
        <f t="array" ref="AE2">fluidGasConstant("O2")</f>
        <v>259.83661262297335</v>
      </c>
      <c r="AF2" t="s">
        <v>65</v>
      </c>
      <c r="AG2">
        <f>AE2/1000</f>
        <v>0.25983661262297336</v>
      </c>
      <c r="AK2" t="s">
        <v>35</v>
      </c>
      <c r="AL2" t="str" cm="1">
        <f t="array" ref="AL2">fluidUnitType(AK2)</f>
        <v>Mass Flow</v>
      </c>
      <c r="AN2" t="s">
        <v>86</v>
      </c>
      <c r="AO2">
        <v>1</v>
      </c>
      <c r="AP2" t="s">
        <v>37</v>
      </c>
      <c r="AV2" t="s">
        <v>175</v>
      </c>
      <c r="AW2">
        <v>70</v>
      </c>
      <c r="AX2" t="s">
        <v>62</v>
      </c>
      <c r="AZ2" t="s">
        <v>175</v>
      </c>
      <c r="BA2">
        <v>100</v>
      </c>
      <c r="BB2" t="s">
        <v>95</v>
      </c>
    </row>
    <row r="3" spans="2:54" x14ac:dyDescent="0.25">
      <c r="B3" t="s">
        <v>4</v>
      </c>
      <c r="C3" cm="1">
        <f t="array" ref="C3">fluidStandardConditions(C2,"T")</f>
        <v>273.14999999999998</v>
      </c>
      <c r="D3" t="s">
        <v>2</v>
      </c>
      <c r="G3" cm="1">
        <f t="array" ref="G3">fluidConvert($G$2,$H$2,H3)</f>
        <v>1</v>
      </c>
      <c r="H3" t="s">
        <v>35</v>
      </c>
      <c r="K3" cm="1">
        <f t="array" ref="K3">fluidConvert($K$2,$L$2,L3)</f>
        <v>1E-4</v>
      </c>
      <c r="L3" t="s">
        <v>10</v>
      </c>
      <c r="O3" cm="1">
        <f t="array" ref="O3">fluidConvert(O$2,$P$2,P3)</f>
        <v>1</v>
      </c>
      <c r="P3" t="s">
        <v>24</v>
      </c>
      <c r="R3" t="s">
        <v>43</v>
      </c>
      <c r="S3" t="s">
        <v>44</v>
      </c>
      <c r="T3" t="s">
        <v>45</v>
      </c>
      <c r="X3" t="s">
        <v>43</v>
      </c>
      <c r="Y3" t="s">
        <v>44</v>
      </c>
      <c r="Z3" t="s">
        <v>45</v>
      </c>
      <c r="AD3" t="s">
        <v>66</v>
      </c>
      <c r="AE3">
        <f>CONVERT(AG3,"F","K")</f>
        <v>288.14999999999998</v>
      </c>
      <c r="AF3" t="s">
        <v>2</v>
      </c>
      <c r="AG3">
        <v>59</v>
      </c>
      <c r="AH3" t="s">
        <v>62</v>
      </c>
      <c r="AI3" t="s">
        <v>71</v>
      </c>
      <c r="AK3" t="s">
        <v>110</v>
      </c>
      <c r="AL3" t="str" cm="1">
        <f t="array" ref="AL3">fluidUnitType(AK3)</f>
        <v>Mass Flow</v>
      </c>
      <c r="AN3" t="s">
        <v>63</v>
      </c>
      <c r="AO3" s="1" cm="1">
        <f t="array" ref="AO3">fluidConvert(AO2,AP2,AP3)</f>
        <v>2.2046244201837776E-3</v>
      </c>
      <c r="AP3" t="s">
        <v>39</v>
      </c>
      <c r="AR3" t="s">
        <v>174</v>
      </c>
    </row>
    <row r="4" spans="2:54" x14ac:dyDescent="0.25">
      <c r="B4" t="s">
        <v>5</v>
      </c>
      <c r="C4" cm="1">
        <f t="array" ref="C4">fluidStandardConditions(C2,"P")</f>
        <v>100000</v>
      </c>
      <c r="D4" t="s">
        <v>3</v>
      </c>
      <c r="G4" cm="1">
        <f t="array" ref="G4">fluidConvert($G$2,$H$2,H4)</f>
        <v>60</v>
      </c>
      <c r="H4" t="s">
        <v>110</v>
      </c>
      <c r="K4" cm="1">
        <f t="array" ref="K4">fluidConvert($K$2,$L$2,L4)</f>
        <v>6.0000000000000001E-3</v>
      </c>
      <c r="L4" t="s">
        <v>113</v>
      </c>
      <c r="O4" cm="1">
        <f t="array" ref="O4">fluidConvert(O$2,$P$2,P4)</f>
        <v>9.9999999999999995E-7</v>
      </c>
      <c r="P4" t="s">
        <v>25</v>
      </c>
      <c r="R4" t="s">
        <v>0</v>
      </c>
      <c r="S4" t="s">
        <v>61</v>
      </c>
      <c r="T4" t="s">
        <v>45</v>
      </c>
      <c r="X4" t="s">
        <v>0</v>
      </c>
      <c r="Y4" t="s">
        <v>73</v>
      </c>
      <c r="Z4" t="s">
        <v>45</v>
      </c>
      <c r="AD4" t="s">
        <v>67</v>
      </c>
      <c r="AE4">
        <f>CONVERT(AG4,"kPa","Pa")</f>
        <v>101325</v>
      </c>
      <c r="AF4" t="s">
        <v>3</v>
      </c>
      <c r="AG4">
        <v>101.325</v>
      </c>
      <c r="AH4" t="s">
        <v>70</v>
      </c>
      <c r="AI4" t="s">
        <v>72</v>
      </c>
      <c r="AK4" t="s">
        <v>36</v>
      </c>
      <c r="AL4" t="str" cm="1">
        <f t="array" ref="AL4">fluidUnitType(AK4)</f>
        <v>Mass Flow</v>
      </c>
      <c r="AN4" t="s">
        <v>43</v>
      </c>
      <c r="AO4" t="s">
        <v>88</v>
      </c>
      <c r="AP4" t="s">
        <v>45</v>
      </c>
      <c r="AS4" cm="1">
        <f t="array" ref="AS4">fluidConvert($AS$1,$AT$1,AT4)</f>
        <v>0.1</v>
      </c>
      <c r="AT4" t="s">
        <v>132</v>
      </c>
      <c r="AW4" cm="1">
        <f t="array" ref="AW4">fluidConvert($AW$2,$AX$2,AX4)</f>
        <v>70</v>
      </c>
      <c r="AX4" t="s">
        <v>62</v>
      </c>
      <c r="BA4" cm="1">
        <f t="array" ref="BA4">fluidConvert($BA$2,$BB$2,BB4)</f>
        <v>100.00000000000001</v>
      </c>
      <c r="BB4" t="s">
        <v>9</v>
      </c>
    </row>
    <row r="5" spans="2:54" x14ac:dyDescent="0.25">
      <c r="B5" t="s">
        <v>6</v>
      </c>
      <c r="C5" cm="1">
        <f t="array" ref="C5">fluidStandardConditions(C2,"T",FALSE)</f>
        <v>491.66999999999996</v>
      </c>
      <c r="D5" t="s">
        <v>8</v>
      </c>
      <c r="G5" cm="1">
        <f t="array" ref="G5">fluidConvert($G$2,$H$2,H5)</f>
        <v>3600</v>
      </c>
      <c r="H5" t="s">
        <v>36</v>
      </c>
      <c r="K5" cm="1">
        <f t="array" ref="K5">fluidConvert($K$2,$L$2,L5)</f>
        <v>0.36000000000000004</v>
      </c>
      <c r="L5" t="s">
        <v>11</v>
      </c>
      <c r="O5" cm="1">
        <f t="array" ref="O5">fluidConvert(O$2,$P$2,P5)</f>
        <v>1E-3</v>
      </c>
      <c r="P5" t="s">
        <v>26</v>
      </c>
      <c r="S5" cm="1">
        <f t="array" ref="S5">fluidConvert($S$2,$T$2,T5,$S$3,$S$4)</f>
        <v>7.5924348856640559E-4</v>
      </c>
      <c r="T5" t="s">
        <v>46</v>
      </c>
      <c r="U5" cm="1">
        <f t="array" ref="U5">fluidConvert(S5,T5,V5,$S$3,$S$4)</f>
        <v>1</v>
      </c>
      <c r="V5" t="s">
        <v>37</v>
      </c>
      <c r="Y5" t="s">
        <v>76</v>
      </c>
      <c r="Z5" t="s">
        <v>77</v>
      </c>
      <c r="AA5" t="s">
        <v>74</v>
      </c>
      <c r="AB5" t="s">
        <v>75</v>
      </c>
      <c r="AD5" t="s">
        <v>68</v>
      </c>
      <c r="AE5">
        <f>AE4/AE2/AE3</f>
        <v>1.3533110957802672</v>
      </c>
      <c r="AF5" t="s">
        <v>24</v>
      </c>
      <c r="AK5" t="s">
        <v>37</v>
      </c>
      <c r="AL5" t="str" cm="1">
        <f t="array" ref="AL5">fluidUnitType(AK5)</f>
        <v>Mass Flow</v>
      </c>
      <c r="AN5" t="s">
        <v>87</v>
      </c>
      <c r="AO5" cm="1">
        <f t="array" ref="AO5">fluidConvert(AO2,AP2,AP5,AO4)</f>
        <v>8.1071494665068376E-4</v>
      </c>
      <c r="AP5" t="s">
        <v>46</v>
      </c>
      <c r="AS5" cm="1">
        <f t="array" ref="AS5">fluidConvert($AS$1,$AT$1,AT5)</f>
        <v>100</v>
      </c>
      <c r="AT5" t="s">
        <v>133</v>
      </c>
      <c r="AW5" cm="1">
        <f t="array" ref="AW5">fluidConvert($AW$2,$AX$2,AX5)</f>
        <v>70</v>
      </c>
      <c r="AX5" t="s">
        <v>178</v>
      </c>
      <c r="BA5" cm="1">
        <f t="array" ref="BA5">fluidConvert($BA$2,$BB$2,BB5)</f>
        <v>100.00000000000001</v>
      </c>
      <c r="BB5" t="s">
        <v>196</v>
      </c>
    </row>
    <row r="6" spans="2:54" x14ac:dyDescent="0.25">
      <c r="B6" t="s">
        <v>7</v>
      </c>
      <c r="C6" cm="1">
        <f t="array" ref="C6">fluidStandardConditions(C2,"P",FALSE)</f>
        <v>14.5038</v>
      </c>
      <c r="D6" t="s">
        <v>9</v>
      </c>
      <c r="G6" cm="1">
        <f t="array" ref="G6">fluidConvert($G$2,$H$2,H6)</f>
        <v>1000</v>
      </c>
      <c r="H6" t="s">
        <v>37</v>
      </c>
      <c r="K6" cm="1">
        <f t="array" ref="K6">fluidConvert($K$2,$L$2,L6)</f>
        <v>100</v>
      </c>
      <c r="L6" t="s">
        <v>12</v>
      </c>
      <c r="O6" cm="1">
        <f t="array" ref="O6">fluidConvert(O$2,$P$2,P6)</f>
        <v>1000</v>
      </c>
      <c r="P6" t="s">
        <v>27</v>
      </c>
      <c r="S6" cm="1">
        <f t="array" ref="S6">fluidConvert($S$2,$T$2,T6,$S$3,$S$4)</f>
        <v>4.5554609313984334E-2</v>
      </c>
      <c r="T6" t="s">
        <v>47</v>
      </c>
      <c r="U6" cm="1">
        <f t="array" ref="U6">fluidConvert(S6,T6,V6,$S$3,$S$4)</f>
        <v>1</v>
      </c>
      <c r="V6" t="s">
        <v>37</v>
      </c>
      <c r="Y6" cm="1">
        <f t="array" ref="Y6">fluidConvert($Y$2,$Z$2,Z6,$Y$3,$Y$4)</f>
        <v>2705.5412143757962</v>
      </c>
      <c r="Z6" t="s">
        <v>59</v>
      </c>
      <c r="AA6">
        <v>2704.7220000000002</v>
      </c>
      <c r="AB6">
        <f>Y6-AA6</f>
        <v>0.81921437579603662</v>
      </c>
      <c r="AD6" t="s">
        <v>69</v>
      </c>
      <c r="AE6">
        <f>AE1/AE5</f>
        <v>7.3892839799960292E-4</v>
      </c>
      <c r="AF6" t="s">
        <v>10</v>
      </c>
      <c r="AK6" t="s">
        <v>111</v>
      </c>
      <c r="AL6" t="str" cm="1">
        <f t="array" ref="AL6">fluidUnitType(AK6)</f>
        <v>Mass Flow</v>
      </c>
      <c r="AS6" cm="1">
        <f t="array" ref="AS6">fluidConvert($AS$1,$AT$1,AT6)</f>
        <v>10000</v>
      </c>
      <c r="AT6" t="s">
        <v>134</v>
      </c>
      <c r="AW6" cm="1">
        <f t="array" ref="AW6">fluidConvert($AW$2,$AX$2,AX6)</f>
        <v>21.111111111111111</v>
      </c>
      <c r="AX6" t="s">
        <v>177</v>
      </c>
      <c r="BA6" cm="1">
        <f t="array" ref="BA6">fluidConvert($BA$2,$BB$2,BB6)</f>
        <v>100.00000000000001</v>
      </c>
      <c r="BB6" t="s">
        <v>95</v>
      </c>
    </row>
    <row r="7" spans="2:54" x14ac:dyDescent="0.25">
      <c r="G7" cm="1">
        <f t="array" ref="G7">fluidConvert($G$2,$H$2,H7)</f>
        <v>60000</v>
      </c>
      <c r="H7" t="s">
        <v>111</v>
      </c>
      <c r="K7" cm="1">
        <f t="array" ref="K7">fluidConvert($K$2,$L$2,L7)</f>
        <v>6000</v>
      </c>
      <c r="L7" t="s">
        <v>114</v>
      </c>
      <c r="O7" cm="1">
        <f t="array" ref="O7">fluidConvert(O$2,$P$2,P7)</f>
        <v>1</v>
      </c>
      <c r="P7" t="s">
        <v>28</v>
      </c>
      <c r="S7" cm="1">
        <f t="array" ref="S7">fluidConvert($S$2,$T$2,T7,$S$3,$S$4)</f>
        <v>2.73327655883906</v>
      </c>
      <c r="T7" t="s">
        <v>48</v>
      </c>
      <c r="U7" cm="1">
        <f t="array" ref="U7">fluidConvert(S7,T7,V7,$S$3,$S$4)</f>
        <v>1</v>
      </c>
      <c r="V7" t="s">
        <v>37</v>
      </c>
      <c r="Y7" cm="1">
        <f t="array" ref="Y7">fluidConvert($Y$2,$Z$2,Z7,$Y$3,$Y$4)</f>
        <v>1.5657031825621601</v>
      </c>
      <c r="Z7" t="s">
        <v>56</v>
      </c>
      <c r="AA7">
        <v>1.565232</v>
      </c>
      <c r="AB7">
        <f t="shared" ref="AB7:AB11" si="0">Y7-AA7</f>
        <v>4.7118256216016619E-4</v>
      </c>
      <c r="AE7" cm="1">
        <f t="array" ref="AE7">fluidConvert(AE6,AF6,AF7)</f>
        <v>738.92839799960291</v>
      </c>
      <c r="AF7" t="s">
        <v>23</v>
      </c>
      <c r="AG7">
        <v>738.7079</v>
      </c>
      <c r="AH7">
        <f>AE7-AG7</f>
        <v>0.22049799960291239</v>
      </c>
      <c r="AK7" t="s">
        <v>38</v>
      </c>
      <c r="AL7" t="str" cm="1">
        <f t="array" ref="AL7">fluidUnitType(AK7)</f>
        <v>Mass Flow</v>
      </c>
      <c r="AN7" t="s">
        <v>89</v>
      </c>
      <c r="AO7">
        <v>1</v>
      </c>
      <c r="AP7" t="s">
        <v>23</v>
      </c>
      <c r="AS7" cm="1">
        <f t="array" ref="AS7">fluidConvert($AS$1,$AT$1,AT7)</f>
        <v>100000</v>
      </c>
      <c r="AT7" t="s">
        <v>135</v>
      </c>
      <c r="AW7" cm="1">
        <f t="array" ref="AW7">fluidConvert($AW$2,$AX$2,AX7)</f>
        <v>21.111111111111111</v>
      </c>
      <c r="AX7" t="s">
        <v>179</v>
      </c>
      <c r="BA7" cm="1">
        <f t="array" ref="BA7">fluidConvert($BA$2,$BB$2,BB7)</f>
        <v>0.10000000000000002</v>
      </c>
      <c r="BB7" t="s">
        <v>207</v>
      </c>
    </row>
    <row r="8" spans="2:54" x14ac:dyDescent="0.25">
      <c r="G8" cm="1">
        <f t="array" ref="G8">fluidConvert($G$2,$H$2,H8)</f>
        <v>3600000</v>
      </c>
      <c r="H8" t="s">
        <v>38</v>
      </c>
      <c r="K8" cm="1">
        <f t="array" ref="K8">fluidConvert($K$2,$L$2,L8)</f>
        <v>360000</v>
      </c>
      <c r="L8" t="s">
        <v>13</v>
      </c>
      <c r="O8" cm="1">
        <f t="array" ref="O8">fluidConvert(O$2,$P$2,P8)</f>
        <v>3.6127298147753422E-5</v>
      </c>
      <c r="P8" t="s">
        <v>29</v>
      </c>
      <c r="S8" cm="1">
        <f t="array" ref="S8">fluidConvert($S$2,$T$2,T8,$S$3,$S$4)</f>
        <v>0.75924348856640556</v>
      </c>
      <c r="T8" t="s">
        <v>49</v>
      </c>
      <c r="U8" cm="1">
        <f t="array" ref="U8">fluidConvert(S8,T8,V8,$S$3,$S$4)</f>
        <v>1</v>
      </c>
      <c r="V8" t="s">
        <v>37</v>
      </c>
      <c r="Y8" cm="1">
        <f t="array" ref="Y8">fluidConvert($Y$2,$Z$2,Z8,$Y$3,$Y$4)</f>
        <v>44.335703879976172</v>
      </c>
      <c r="Z8" t="s">
        <v>50</v>
      </c>
      <c r="AA8">
        <v>44.322479999999999</v>
      </c>
      <c r="AB8">
        <f t="shared" si="0"/>
        <v>1.3223879976173691E-2</v>
      </c>
      <c r="AK8" t="s">
        <v>39</v>
      </c>
      <c r="AL8" t="str" cm="1">
        <f t="array" ref="AL8">fluidUnitType(AK8)</f>
        <v>Mass Flow</v>
      </c>
      <c r="AN8" t="s">
        <v>90</v>
      </c>
      <c r="AO8" cm="1">
        <f t="array" ref="AO8">fluidConvert(AO7,AP7,AP8)</f>
        <v>9.9999999999999995E-7</v>
      </c>
      <c r="AP8" t="s">
        <v>10</v>
      </c>
      <c r="AS8" cm="1">
        <f t="array" ref="AS8">fluidConvert($AS$1,$AT$1,AT8)</f>
        <v>3937.0078740157483</v>
      </c>
      <c r="AT8" t="s">
        <v>136</v>
      </c>
      <c r="AW8" cm="1">
        <f t="array" ref="AW8">fluidConvert($AW$2,$AX$2,AX8)</f>
        <v>294.26111111111106</v>
      </c>
      <c r="AX8" t="s">
        <v>2</v>
      </c>
      <c r="BA8" cm="1">
        <f t="array" ref="BA8">fluidConvert($BA$2,$BB$2,BB8)</f>
        <v>100.00000000000001</v>
      </c>
      <c r="BB8" t="s">
        <v>197</v>
      </c>
    </row>
    <row r="9" spans="2:54" x14ac:dyDescent="0.25">
      <c r="B9" t="s">
        <v>41</v>
      </c>
      <c r="C9" cm="1">
        <f t="array" ref="C9">fluidUniversalGasConstant()</f>
        <v>8.3144597999999998</v>
      </c>
      <c r="G9" cm="1">
        <f t="array" ref="G9">fluidConvert($G$2,$H$2,H9)</f>
        <v>2.2046244201837775</v>
      </c>
      <c r="H9" t="s">
        <v>39</v>
      </c>
      <c r="K9" cm="1">
        <f t="array" ref="K9">fluidConvert($K$2,$L$2,L9)</f>
        <v>0.1</v>
      </c>
      <c r="L9" t="s">
        <v>14</v>
      </c>
      <c r="O9" cm="1">
        <f t="array" ref="O9">fluidConvert(O$2,$P$2,P9)</f>
        <v>6.2429766512673242E-2</v>
      </c>
      <c r="P9" t="s">
        <v>30</v>
      </c>
      <c r="S9" cm="1">
        <f t="array" ref="S9">fluidConvert($S$2,$T$2,T9,$S$3,$S$4)</f>
        <v>45.554609313984336</v>
      </c>
      <c r="T9" t="s">
        <v>50</v>
      </c>
      <c r="U9" cm="1">
        <f t="array" ref="U9">fluidConvert(S9,T9,V9,$S$3,$S$4)</f>
        <v>1</v>
      </c>
      <c r="V9" t="s">
        <v>37</v>
      </c>
      <c r="Y9" cm="1">
        <f t="array" ref="Y9">fluidConvert($Y$2,$Z$2,Z9,$Y$3,$Y$4)</f>
        <v>0.73892839799960297</v>
      </c>
      <c r="Z9" t="s">
        <v>49</v>
      </c>
      <c r="AA9">
        <v>0.73870800000000003</v>
      </c>
      <c r="AB9">
        <f t="shared" si="0"/>
        <v>2.2039799960293927E-4</v>
      </c>
      <c r="AK9" t="s">
        <v>112</v>
      </c>
      <c r="AL9" t="str" cm="1">
        <f t="array" ref="AL9">fluidUnitType(AK9)</f>
        <v>Mass Flow</v>
      </c>
      <c r="AS9" cm="1">
        <f t="array" ref="AS9">fluidConvert($AS$1,$AT$1,AT9)</f>
        <v>328.08398950131232</v>
      </c>
      <c r="AT9" t="s">
        <v>137</v>
      </c>
      <c r="AW9" cm="1">
        <f t="array" ref="AW9">fluidConvert($AW$2,$AX$2,AX9)</f>
        <v>529.67000000000007</v>
      </c>
      <c r="AX9" t="s">
        <v>8</v>
      </c>
      <c r="BA9" cm="1">
        <f t="array" ref="BA9">fluidConvert($BA$2,$BB$2,BB9)</f>
        <v>100.00000000000001</v>
      </c>
      <c r="BB9" t="s">
        <v>198</v>
      </c>
    </row>
    <row r="10" spans="2:54" x14ac:dyDescent="0.25">
      <c r="G10" cm="1">
        <f t="array" ref="G10">fluidConvert($G$2,$H$2,H10)</f>
        <v>132.27746521102665</v>
      </c>
      <c r="H10" t="s">
        <v>112</v>
      </c>
      <c r="K10" cm="1">
        <f t="array" ref="K10">fluidConvert($K$2,$L$2,L10)</f>
        <v>6</v>
      </c>
      <c r="L10" t="s">
        <v>115</v>
      </c>
      <c r="O10" cm="1">
        <f t="array" ref="O10">fluidConvert(O$2,$P$2,P10)</f>
        <v>8.3454342129421002E-3</v>
      </c>
      <c r="P10" t="s">
        <v>31</v>
      </c>
      <c r="S10" cm="1">
        <f t="array" ref="S10">fluidConvert($S$2,$T$2,T10,$S$3,$S$4)</f>
        <v>2733.2765588390603</v>
      </c>
      <c r="T10" t="s">
        <v>51</v>
      </c>
      <c r="U10" cm="1">
        <f t="array" ref="U10">fluidConvert(S10,T10,V10,$S$3,$S$4)</f>
        <v>1</v>
      </c>
      <c r="V10" t="s">
        <v>37</v>
      </c>
      <c r="Y10" cm="1">
        <f t="array" ref="Y10">fluidConvert($Y$2,$Z$2,Z10,$Y$3,$Y$4)</f>
        <v>44335.703879976172</v>
      </c>
      <c r="Z10" t="s">
        <v>53</v>
      </c>
      <c r="AA10">
        <v>44322.48</v>
      </c>
      <c r="AB10">
        <f t="shared" si="0"/>
        <v>13.223879976168973</v>
      </c>
      <c r="AK10" t="s">
        <v>40</v>
      </c>
      <c r="AL10" t="str" cm="1">
        <f t="array" ref="AL10">fluidUnitType(AK10)</f>
        <v>Mass Flow</v>
      </c>
      <c r="AN10" t="s">
        <v>91</v>
      </c>
      <c r="AO10">
        <v>1</v>
      </c>
      <c r="AP10" t="s">
        <v>24</v>
      </c>
      <c r="AS10" cm="1">
        <f t="array" ref="AS10">fluidConvert($AS$1,$AT$1,AT10)</f>
        <v>109.36132983377078</v>
      </c>
      <c r="AT10" t="s">
        <v>138</v>
      </c>
      <c r="AW10" cm="1">
        <f t="array" ref="AW10">fluidConvert($AW$2,$AX$2,AX10)</f>
        <v>529.67000000000007</v>
      </c>
      <c r="AX10" t="s">
        <v>180</v>
      </c>
      <c r="BA10" cm="1">
        <f t="array" ref="BA10">fluidConvert($BA$2,$BB$2,BB10)</f>
        <v>5171.507548017853</v>
      </c>
      <c r="BB10" t="s">
        <v>199</v>
      </c>
    </row>
    <row r="11" spans="2:54" x14ac:dyDescent="0.25">
      <c r="G11" cm="1">
        <f t="array" ref="G11">fluidConvert($G$2,$H$2,H11)</f>
        <v>7936.6479126615986</v>
      </c>
      <c r="H11" t="s">
        <v>40</v>
      </c>
      <c r="K11" cm="1">
        <f t="array" ref="K11">fluidConvert($K$2,$L$2,L11)</f>
        <v>360</v>
      </c>
      <c r="L11" t="s">
        <v>15</v>
      </c>
      <c r="S11" cm="1">
        <f t="array" ref="S11">fluidConvert($S$2,$T$2,T11,$S$3,$S$4)</f>
        <v>759.24348856640563</v>
      </c>
      <c r="T11" t="s">
        <v>52</v>
      </c>
      <c r="U11" cm="1">
        <f t="array" ref="U11">fluidConvert(S11,T11,V11,$S$3,$S$4)</f>
        <v>1</v>
      </c>
      <c r="V11" t="s">
        <v>37</v>
      </c>
      <c r="Y11" cm="1">
        <f t="array" ref="Y11">fluidConvert($Y$2,$Z$2,Z11,$Y$3,$Y$4)</f>
        <v>738.92839799960291</v>
      </c>
      <c r="Z11" t="s">
        <v>52</v>
      </c>
      <c r="AA11">
        <v>738.7079</v>
      </c>
      <c r="AB11">
        <f t="shared" si="0"/>
        <v>0.22049799960291239</v>
      </c>
      <c r="AN11" t="s">
        <v>92</v>
      </c>
      <c r="AO11" cm="1">
        <f t="array" ref="AO11">fluidConvert(AO10,AP10,AP11)</f>
        <v>3.6127298147753422E-5</v>
      </c>
      <c r="AP11" t="s">
        <v>29</v>
      </c>
      <c r="AS11" cm="1">
        <f t="array" ref="AS11">fluidConvert($AS$1,$AT$1,AT11)</f>
        <v>6.2137119223733397E-2</v>
      </c>
      <c r="AT11" t="s">
        <v>139</v>
      </c>
      <c r="AW11" cm="1">
        <f t="array" ref="AW11">fluidConvert($AW$2,$AX$2,AX11)</f>
        <v>529.67000000000007</v>
      </c>
      <c r="AX11" t="s">
        <v>181</v>
      </c>
      <c r="BA11" cm="1">
        <f t="array" ref="BA11">fluidConvert($BA$2,$BB$2,BB11)</f>
        <v>6.8045963909877738</v>
      </c>
      <c r="BB11" t="s">
        <v>200</v>
      </c>
    </row>
    <row r="12" spans="2:54" x14ac:dyDescent="0.25">
      <c r="K12" cm="1">
        <f t="array" ref="K12">fluidConvert($K$2,$L$2,L12)</f>
        <v>6.102398242509306</v>
      </c>
      <c r="L12" t="s">
        <v>16</v>
      </c>
      <c r="S12" cm="1">
        <f t="array" ref="S12">fluidConvert($S$2,$T$2,T12,$S$3,$S$4)</f>
        <v>45554.609313984336</v>
      </c>
      <c r="T12" t="s">
        <v>53</v>
      </c>
      <c r="U12" cm="1">
        <f t="array" ref="U12">fluidConvert(S12,T12,V12,$S$3,$S$4)</f>
        <v>1</v>
      </c>
      <c r="V12" t="s">
        <v>37</v>
      </c>
      <c r="AK12" t="s">
        <v>126</v>
      </c>
      <c r="AS12" cm="1">
        <f t="array" ref="AS12">fluidConvert($AS$1,$AT$1,AT12)</f>
        <v>6</v>
      </c>
      <c r="AT12" t="s">
        <v>140</v>
      </c>
      <c r="BA12" cm="1">
        <f t="array" ref="BA12">fluidConvert($BA$2,$BB$2,BB12)</f>
        <v>689475.72931683622</v>
      </c>
      <c r="BB12" t="s">
        <v>3</v>
      </c>
    </row>
    <row r="13" spans="2:54" x14ac:dyDescent="0.25">
      <c r="K13" cm="1">
        <f t="array" ref="K13">fluidConvert($K$2,$L$2,L13)</f>
        <v>366.14389455055834</v>
      </c>
      <c r="L13" t="s">
        <v>116</v>
      </c>
      <c r="S13" cm="1">
        <f t="array" ref="S13">fluidConvert($S$2,$T$2,T13,$S$3,$S$4)</f>
        <v>2733276.5588390599</v>
      </c>
      <c r="T13" t="s">
        <v>54</v>
      </c>
      <c r="U13" cm="1">
        <f t="array" ref="U13">fluidConvert(S13,T13,V13,$S$3,$S$4)</f>
        <v>0.99999999999999978</v>
      </c>
      <c r="V13" t="s">
        <v>37</v>
      </c>
      <c r="AK13" t="s">
        <v>23</v>
      </c>
      <c r="AL13" t="str" cm="1">
        <f t="array" ref="AL13">fluidUnitType(AK13)</f>
        <v>Volume Flow</v>
      </c>
      <c r="AN13" t="s">
        <v>93</v>
      </c>
      <c r="AO13">
        <f>AO5</f>
        <v>8.1071494665068376E-4</v>
      </c>
      <c r="AP13" t="s">
        <v>52</v>
      </c>
      <c r="AS13" cm="1">
        <f t="array" ref="AS13">fluidConvert($AS$1,$AT$1,AT13)</f>
        <v>6000</v>
      </c>
      <c r="AT13" t="s">
        <v>141</v>
      </c>
      <c r="BA13" cm="1">
        <f t="array" ref="BA13">fluidConvert($BA$2,$BB$2,BB13)</f>
        <v>689.47572931683624</v>
      </c>
      <c r="BB13" t="s">
        <v>70</v>
      </c>
    </row>
    <row r="14" spans="2:54" x14ac:dyDescent="0.25">
      <c r="K14" cm="1">
        <f t="array" ref="K14">fluidConvert($K$2,$L$2,L14)</f>
        <v>21968.633673033502</v>
      </c>
      <c r="L14" t="s">
        <v>17</v>
      </c>
      <c r="S14" cm="1">
        <f t="array" ref="S14">fluidConvert($S$2,$T$2,T14,$S$3,$S$4)</f>
        <v>2.6812474875918382E-2</v>
      </c>
      <c r="T14" t="s">
        <v>55</v>
      </c>
      <c r="U14" cm="1">
        <f t="array" ref="U14">fluidConvert(S14,T14,V14,$S$3,$S$4)</f>
        <v>1</v>
      </c>
      <c r="V14" t="s">
        <v>37</v>
      </c>
      <c r="AK14" t="s">
        <v>10</v>
      </c>
      <c r="AL14" t="str" cm="1">
        <f t="array" ref="AL14">fluidUnitType(AK14)</f>
        <v>Volume Flow</v>
      </c>
      <c r="AN14" t="s">
        <v>94</v>
      </c>
      <c r="AO14" cm="1">
        <f t="array" ref="AO14">fluidConvert(AO13,AP13,AP14)</f>
        <v>4.8642896799041027E-5</v>
      </c>
      <c r="AP14" t="s">
        <v>50</v>
      </c>
      <c r="AS14" cm="1">
        <f t="array" ref="AS14">fluidConvert($AS$1,$AT$1,AT14)</f>
        <v>600000</v>
      </c>
      <c r="AT14" t="s">
        <v>142</v>
      </c>
      <c r="BA14" cm="1">
        <f t="array" ref="BA14">fluidConvert($BA$2,$BB$2,BB14)</f>
        <v>0.68947572931683621</v>
      </c>
      <c r="BB14" t="s">
        <v>201</v>
      </c>
    </row>
    <row r="15" spans="2:54" x14ac:dyDescent="0.25">
      <c r="K15" cm="1">
        <f t="array" ref="K15">fluidConvert($K$2,$L$2,L15)</f>
        <v>3.5314724827664144E-3</v>
      </c>
      <c r="L15" t="s">
        <v>18</v>
      </c>
      <c r="S15" cm="1">
        <f t="array" ref="S15">fluidConvert($S$2,$T$2,T15,$S$3,$S$4)</f>
        <v>1.6087484925551028</v>
      </c>
      <c r="T15" t="s">
        <v>56</v>
      </c>
      <c r="U15" cm="1">
        <f t="array" ref="U15">fluidConvert(S15,T15,V15,$S$3,$S$4)</f>
        <v>1</v>
      </c>
      <c r="V15" t="s">
        <v>37</v>
      </c>
      <c r="AK15" t="s">
        <v>113</v>
      </c>
      <c r="AL15" t="str" cm="1">
        <f t="array" ref="AL15">fluidUnitType(AK15)</f>
        <v>Volume Flow</v>
      </c>
      <c r="AN15" t="s">
        <v>43</v>
      </c>
      <c r="AO15" t="str">
        <f>AO4</f>
        <v>N2</v>
      </c>
      <c r="AP15" t="s">
        <v>45</v>
      </c>
      <c r="AS15" cm="1">
        <f t="array" ref="AS15">fluidConvert($AS$1,$AT$1,AT15)</f>
        <v>6000000</v>
      </c>
      <c r="AT15" t="s">
        <v>143</v>
      </c>
      <c r="BA15" cm="1">
        <f t="array" ref="BA15">fluidConvert($BA$2,$BB$2,BB15)</f>
        <v>6.8947572931683625E-4</v>
      </c>
      <c r="BB15" t="s">
        <v>202</v>
      </c>
    </row>
    <row r="16" spans="2:54" x14ac:dyDescent="0.25">
      <c r="K16" cm="1">
        <f t="array" ref="K16">fluidConvert($K$2,$L$2,L16)</f>
        <v>0.21188834896598488</v>
      </c>
      <c r="L16" t="s">
        <v>117</v>
      </c>
      <c r="S16" cm="1">
        <f t="array" ref="S16">fluidConvert($S$2,$T$2,T16,$S$3,$S$4)</f>
        <v>166795.42068951364</v>
      </c>
      <c r="T16" t="s">
        <v>57</v>
      </c>
      <c r="U16" cm="1">
        <f t="array" ref="U16">fluidConvert(S16,T16,V16,$S$3,$S$4)</f>
        <v>1</v>
      </c>
      <c r="V16" t="s">
        <v>37</v>
      </c>
      <c r="AK16" t="s">
        <v>11</v>
      </c>
      <c r="AL16" t="str" cm="1">
        <f t="array" ref="AL16">fluidUnitType(AK16)</f>
        <v>Volume Flow</v>
      </c>
      <c r="AN16" t="s">
        <v>63</v>
      </c>
      <c r="AO16" cm="1">
        <f t="array" ref="AO16">fluidConvert(AO13,AP13,AP16,AO15)</f>
        <v>1.0000000000000002E-6</v>
      </c>
      <c r="AP16" t="s">
        <v>37</v>
      </c>
      <c r="AS16" cm="1">
        <f t="array" ref="AS16">fluidConvert($AS$1,$AT$1,AT16)</f>
        <v>236220.47244094487</v>
      </c>
      <c r="AT16" t="s">
        <v>144</v>
      </c>
      <c r="BA16" cm="1">
        <f t="array" ref="BA16">fluidConvert($BA$2,$BB$2,BB16)</f>
        <v>5171.4932571507088</v>
      </c>
      <c r="BB16" t="s">
        <v>203</v>
      </c>
    </row>
    <row r="17" spans="11:54" x14ac:dyDescent="0.25">
      <c r="K17" cm="1">
        <f t="array" ref="K17">fluidConvert($K$2,$L$2,L17)</f>
        <v>12.713300937959092</v>
      </c>
      <c r="L17" t="s">
        <v>19</v>
      </c>
      <c r="S17" cm="1">
        <f t="array" ref="S17">fluidConvert($S$2,$T$2,T17,$S$3,$S$4)</f>
        <v>46.332061302642678</v>
      </c>
      <c r="T17" t="s">
        <v>58</v>
      </c>
      <c r="U17" cm="1">
        <f t="array" ref="U17">fluidConvert(S17,T17,V17,$S$3,$S$4)</f>
        <v>1</v>
      </c>
      <c r="V17" t="s">
        <v>37</v>
      </c>
      <c r="AK17" t="s">
        <v>12</v>
      </c>
      <c r="AL17" t="str" cm="1">
        <f t="array" ref="AL17">fluidUnitType(AK17)</f>
        <v>Volume Flow</v>
      </c>
      <c r="AS17" cm="1">
        <f t="array" ref="AS17">fluidConvert($AS$1,$AT$1,AT17)</f>
        <v>19685.039370078739</v>
      </c>
      <c r="AT17" t="s">
        <v>145</v>
      </c>
      <c r="BA17" cm="1">
        <f t="array" ref="BA17">fluidConvert($BA$2,$BB$2,BB17)</f>
        <v>5171.4932571507088</v>
      </c>
      <c r="BB17" t="s">
        <v>205</v>
      </c>
    </row>
    <row r="18" spans="11:54" x14ac:dyDescent="0.25">
      <c r="K18" cm="1">
        <f t="array" ref="K18">fluidConvert($K$2,$L$2,L18)</f>
        <v>2.6417200000000005E-2</v>
      </c>
      <c r="L18" t="s">
        <v>20</v>
      </c>
      <c r="S18" cm="1">
        <f t="array" ref="S18">fluidConvert($S$2,$T$2,T18,$S$3,$S$4)</f>
        <v>2779.9236781585605</v>
      </c>
      <c r="T18" t="s">
        <v>59</v>
      </c>
      <c r="U18" cm="1">
        <f t="array" ref="U18">fluidConvert(S18,T18,V18,$S$3,$S$4)</f>
        <v>1</v>
      </c>
      <c r="V18" t="s">
        <v>37</v>
      </c>
      <c r="AK18" t="s">
        <v>114</v>
      </c>
      <c r="AL18" t="str" cm="1">
        <f t="array" ref="AL18">fluidUnitType(AK18)</f>
        <v>Volume Flow</v>
      </c>
      <c r="AS18" cm="1">
        <f t="array" ref="AS18">fluidConvert($AS$1,$AT$1,AT18)</f>
        <v>6561.6797900262463</v>
      </c>
      <c r="AT18" t="s">
        <v>146</v>
      </c>
      <c r="BA18" cm="1">
        <f t="array" ref="BA18">fluidConvert($BA$2,$BB$2,BB18)</f>
        <v>6.8947572931683618</v>
      </c>
      <c r="BB18" t="s">
        <v>204</v>
      </c>
    </row>
    <row r="19" spans="11:54" x14ac:dyDescent="0.25">
      <c r="K19" cm="1">
        <f t="array" ref="K19">fluidConvert($K$2,$L$2,L19)</f>
        <v>1.5850320000000002</v>
      </c>
      <c r="L19" t="s">
        <v>118</v>
      </c>
      <c r="S19" cm="1">
        <f t="array" ref="S19">fluidConvert($S$2,$T$2,T19,$S$3,$S$4)</f>
        <v>166795.42068951364</v>
      </c>
      <c r="T19" t="s">
        <v>60</v>
      </c>
      <c r="U19" cm="1">
        <f t="array" ref="U19">fluidConvert(S19,T19,V19,$S$3,$S$4)</f>
        <v>1</v>
      </c>
      <c r="V19" t="s">
        <v>37</v>
      </c>
      <c r="AK19" t="s">
        <v>13</v>
      </c>
      <c r="AL19" t="str" cm="1">
        <f t="array" ref="AL19">fluidUnitType(AK19)</f>
        <v>Volume Flow</v>
      </c>
      <c r="AS19" cm="1">
        <f t="array" ref="AS19">fluidConvert($AS$1,$AT$1,AT19)</f>
        <v>3.7282271534240037</v>
      </c>
      <c r="AT19" t="s">
        <v>147</v>
      </c>
    </row>
    <row r="20" spans="11:54" x14ac:dyDescent="0.25">
      <c r="K20" cm="1">
        <f t="array" ref="K20">fluidConvert($K$2,$L$2,L20)</f>
        <v>95.101920000000007</v>
      </c>
      <c r="L20" t="s">
        <v>21</v>
      </c>
      <c r="AK20" t="s">
        <v>14</v>
      </c>
      <c r="AL20" t="str" cm="1">
        <f t="array" ref="AL20">fluidUnitType(AK20)</f>
        <v>Volume Flow</v>
      </c>
      <c r="AS20" cm="1">
        <f t="array" ref="AS20">fluidConvert($AS$1,$AT$1,AT20)</f>
        <v>360</v>
      </c>
      <c r="AT20" t="s">
        <v>148</v>
      </c>
    </row>
    <row r="21" spans="11:54" x14ac:dyDescent="0.25">
      <c r="R21" t="s">
        <v>22</v>
      </c>
      <c r="S21">
        <v>1</v>
      </c>
      <c r="T21" t="s">
        <v>37</v>
      </c>
      <c r="AK21" t="s">
        <v>115</v>
      </c>
      <c r="AL21" t="str" cm="1">
        <f t="array" ref="AL21">fluidUnitType(AK21)</f>
        <v>Volume Flow</v>
      </c>
      <c r="AS21" cm="1">
        <f t="array" ref="AS21">fluidConvert($AS$1,$AT$1,AT21)</f>
        <v>360000</v>
      </c>
      <c r="AT21" t="s">
        <v>149</v>
      </c>
    </row>
    <row r="22" spans="11:54" x14ac:dyDescent="0.25">
      <c r="R22" t="s">
        <v>43</v>
      </c>
      <c r="S22" t="s">
        <v>44</v>
      </c>
      <c r="T22" t="s">
        <v>45</v>
      </c>
      <c r="AK22" t="s">
        <v>15</v>
      </c>
      <c r="AL22" t="str" cm="1">
        <f t="array" ref="AL22">fluidUnitType(AK22)</f>
        <v>Volume Flow</v>
      </c>
      <c r="AS22" cm="1">
        <f t="array" ref="AS22">fluidConvert($AS$1,$AT$1,AT22)</f>
        <v>36000000</v>
      </c>
      <c r="AT22" t="s">
        <v>150</v>
      </c>
    </row>
    <row r="23" spans="11:54" x14ac:dyDescent="0.25">
      <c r="R23" t="s">
        <v>0</v>
      </c>
      <c r="S23" t="s">
        <v>61</v>
      </c>
      <c r="T23" t="s">
        <v>45</v>
      </c>
      <c r="AK23" t="s">
        <v>16</v>
      </c>
      <c r="AL23" t="str" cm="1">
        <f t="array" ref="AL23">fluidUnitType(AK23)</f>
        <v>Volume Flow</v>
      </c>
      <c r="AS23" cm="1">
        <f t="array" ref="AS23">fluidConvert($AS$1,$AT$1,AT23)</f>
        <v>360000000</v>
      </c>
      <c r="AT23" t="s">
        <v>151</v>
      </c>
    </row>
    <row r="24" spans="11:54" x14ac:dyDescent="0.25">
      <c r="R24">
        <v>14.7</v>
      </c>
      <c r="S24" t="s">
        <v>95</v>
      </c>
      <c r="T24" cm="1">
        <f t="array" ref="T24">fluidConvert(R24,S24,U24)</f>
        <v>101352.93220957491</v>
      </c>
      <c r="U24" t="s">
        <v>3</v>
      </c>
      <c r="AK24" t="s">
        <v>116</v>
      </c>
      <c r="AL24" t="str" cm="1">
        <f t="array" ref="AL24">fluidUnitType(AK24)</f>
        <v>Volume Flow</v>
      </c>
      <c r="AS24" cm="1">
        <f t="array" ref="AS24">fluidConvert($AS$1,$AT$1,AT24)</f>
        <v>14173228.346456693</v>
      </c>
      <c r="AT24" t="s">
        <v>152</v>
      </c>
    </row>
    <row r="25" spans="11:54" x14ac:dyDescent="0.25">
      <c r="R25">
        <v>70</v>
      </c>
      <c r="S25" t="s">
        <v>62</v>
      </c>
      <c r="T25" cm="1">
        <f t="array" ref="T25">fluidConvert(R25,S25,U25)</f>
        <v>294.26111111111106</v>
      </c>
      <c r="U25" t="s">
        <v>2</v>
      </c>
      <c r="AK25" t="s">
        <v>17</v>
      </c>
      <c r="AL25" t="str" cm="1">
        <f t="array" ref="AL25">fluidUnitType(AK25)</f>
        <v>Volume Flow</v>
      </c>
      <c r="AS25" cm="1">
        <f t="array" ref="AS25">fluidConvert($AS$1,$AT$1,AT25)</f>
        <v>1181102.3622047245</v>
      </c>
      <c r="AT25" t="s">
        <v>153</v>
      </c>
    </row>
    <row r="26" spans="11:54" x14ac:dyDescent="0.25">
      <c r="S26" cm="1">
        <f t="array" ref="S26">fluidConvert($S$21,$T$21,T26,$S$22,$S$23,$T$24,$T$25)</f>
        <v>7.5871931037131679E-4</v>
      </c>
      <c r="T26" t="s">
        <v>46</v>
      </c>
      <c r="U26" cm="1">
        <f t="array" ref="U26">fluidConvert(S26,T26,V26,$S$22,$S$23,$T$24,$T$25)</f>
        <v>1</v>
      </c>
      <c r="V26" t="s">
        <v>37</v>
      </c>
      <c r="AK26" t="s">
        <v>18</v>
      </c>
      <c r="AL26" t="str" cm="1">
        <f t="array" ref="AL26">fluidUnitType(AK26)</f>
        <v>Volume Flow</v>
      </c>
      <c r="AS26" cm="1">
        <f t="array" ref="AS26">fluidConvert($AS$1,$AT$1,AT26)</f>
        <v>393700.78740157478</v>
      </c>
      <c r="AT26" t="s">
        <v>154</v>
      </c>
    </row>
    <row r="27" spans="11:54" x14ac:dyDescent="0.25">
      <c r="S27" cm="1">
        <f t="array" ref="S27">fluidConvert($S$21,$T$21,T27,$S$22,$S$23,$T$24,$T$25)</f>
        <v>4.5523158622279007E-2</v>
      </c>
      <c r="T27" t="s">
        <v>47</v>
      </c>
      <c r="U27" cm="1">
        <f t="array" ref="U27">fluidConvert(S27,T27,V27,$S$22,$S$23,$T$24,$T$25)</f>
        <v>1</v>
      </c>
      <c r="V27" t="s">
        <v>37</v>
      </c>
      <c r="AK27" t="s">
        <v>117</v>
      </c>
      <c r="AL27" t="str" cm="1">
        <f t="array" ref="AL27">fluidUnitType(AK27)</f>
        <v>Volume Flow</v>
      </c>
      <c r="AS27" cm="1">
        <f t="array" ref="AS27">fluidConvert($AS$1,$AT$1,AT27)</f>
        <v>223.69362920544023</v>
      </c>
      <c r="AT27" t="s">
        <v>155</v>
      </c>
    </row>
    <row r="28" spans="11:54" x14ac:dyDescent="0.25">
      <c r="S28" cm="1">
        <f t="array" ref="S28">fluidConvert($S$21,$T$21,T28,$S$22,$S$23,$T$24,$T$25)</f>
        <v>2.7313895173367406</v>
      </c>
      <c r="T28" t="s">
        <v>48</v>
      </c>
      <c r="U28" cm="1">
        <f t="array" ref="U28">fluidConvert(S28,T28,V28,$S$22,$S$23,$T$24,$T$25)</f>
        <v>1</v>
      </c>
      <c r="V28" t="s">
        <v>37</v>
      </c>
      <c r="AK28" t="s">
        <v>19</v>
      </c>
      <c r="AL28" t="str" cm="1">
        <f t="array" ref="AL28">fluidUnitType(AK28)</f>
        <v>Volume Flow</v>
      </c>
      <c r="AS28" cm="1">
        <f t="array" ref="AS28">fluidConvert($AS$1,$AT$1,AT28)</f>
        <v>223.69362920544023</v>
      </c>
      <c r="AT28" t="s">
        <v>124</v>
      </c>
    </row>
    <row r="29" spans="11:54" x14ac:dyDescent="0.25">
      <c r="S29" cm="1">
        <f t="array" ref="S29">fluidConvert($S$21,$T$21,T29,$S$22,$S$23,$T$24,$T$25)</f>
        <v>0.75871931037131679</v>
      </c>
      <c r="T29" t="s">
        <v>49</v>
      </c>
      <c r="U29" cm="1">
        <f t="array" ref="U29">fluidConvert(S29,T29,V29,$S$22,$S$23,$T$24,$T$25)</f>
        <v>1</v>
      </c>
      <c r="V29" t="s">
        <v>37</v>
      </c>
      <c r="AK29" t="s">
        <v>20</v>
      </c>
      <c r="AL29" t="str" cm="1">
        <f t="array" ref="AL29">fluidUnitType(AK29)</f>
        <v>Volume Flow</v>
      </c>
    </row>
    <row r="30" spans="11:54" x14ac:dyDescent="0.25">
      <c r="S30" cm="1">
        <f t="array" ref="S30">fluidConvert($S$21,$T$21,T30,$S$22,$S$23,$T$24,$T$25)</f>
        <v>45.523158622279006</v>
      </c>
      <c r="T30" t="s">
        <v>50</v>
      </c>
      <c r="U30" cm="1">
        <f t="array" ref="U30">fluidConvert(S30,T30,V30,$S$22,$S$23,$T$24,$T$25)</f>
        <v>1</v>
      </c>
      <c r="V30" t="s">
        <v>37</v>
      </c>
      <c r="AK30" t="s">
        <v>123</v>
      </c>
      <c r="AL30" t="str" cm="1">
        <f t="array" ref="AL30">fluidUnitType(AK30)</f>
        <v>Volume Flow</v>
      </c>
    </row>
    <row r="31" spans="11:54" x14ac:dyDescent="0.25">
      <c r="S31" cm="1">
        <f t="array" ref="S31">fluidConvert($S$21,$T$21,T31,$S$22,$S$23,$T$24,$T$25)</f>
        <v>2731.3895173367405</v>
      </c>
      <c r="T31" t="s">
        <v>51</v>
      </c>
      <c r="U31" cm="1">
        <f t="array" ref="U31">fluidConvert(S31,T31,V31,$S$22,$S$23,$T$24,$T$25)</f>
        <v>1</v>
      </c>
      <c r="V31" t="s">
        <v>37</v>
      </c>
      <c r="AK31" t="s">
        <v>118</v>
      </c>
      <c r="AL31" t="str" cm="1">
        <f t="array" ref="AL31">fluidUnitType(AK31)</f>
        <v>Volume Flow</v>
      </c>
    </row>
    <row r="32" spans="11:54" x14ac:dyDescent="0.25">
      <c r="S32" cm="1">
        <f t="array" ref="S32">fluidConvert($S$21,$T$21,T32,$S$22,$S$23,$T$24,$T$25)</f>
        <v>758.71931037131674</v>
      </c>
      <c r="T32" t="s">
        <v>52</v>
      </c>
      <c r="U32" cm="1">
        <f t="array" ref="U32">fluidConvert(S32,T32,V32,$S$22,$S$23,$T$24,$T$25)</f>
        <v>0.99999999999999978</v>
      </c>
      <c r="V32" t="s">
        <v>37</v>
      </c>
      <c r="AK32" t="s">
        <v>119</v>
      </c>
      <c r="AL32" t="str" cm="1">
        <f t="array" ref="AL32">fluidUnitType(AK32)</f>
        <v>Volume Flow</v>
      </c>
    </row>
    <row r="33" spans="19:38" x14ac:dyDescent="0.25">
      <c r="S33" cm="1">
        <f t="array" ref="S33">fluidConvert($S$21,$T$21,T33,$S$22,$S$23,$T$24,$T$25)</f>
        <v>45523.158622279007</v>
      </c>
      <c r="T33" t="s">
        <v>53</v>
      </c>
      <c r="U33" cm="1">
        <f t="array" ref="U33">fluidConvert(S33,T33,V33,$S$22,$S$23,$T$24,$T$25)</f>
        <v>1</v>
      </c>
      <c r="V33" t="s">
        <v>37</v>
      </c>
      <c r="AK33" t="s">
        <v>21</v>
      </c>
      <c r="AL33" t="str" cm="1">
        <f t="array" ref="AL33">fluidUnitType(AK33)</f>
        <v>Volume Flow</v>
      </c>
    </row>
    <row r="34" spans="19:38" x14ac:dyDescent="0.25">
      <c r="S34" cm="1">
        <f t="array" ref="S34">fluidConvert($S$21,$T$21,T34,$S$22,$S$23,$T$24,$T$25)</f>
        <v>2731389.5173367406</v>
      </c>
      <c r="T34" t="s">
        <v>54</v>
      </c>
      <c r="U34" cm="1">
        <f t="array" ref="U34">fluidConvert(S34,T34,V34,$S$22,$S$23,$T$24,$T$25)</f>
        <v>1</v>
      </c>
      <c r="V34" t="s">
        <v>37</v>
      </c>
    </row>
    <row r="35" spans="19:38" x14ac:dyDescent="0.25">
      <c r="S35" cm="1">
        <f t="array" ref="S35">fluidConvert($S$21,$T$21,T35,$S$22,$S$23,$T$24,$T$25)</f>
        <v>2.6793963667198158E-2</v>
      </c>
      <c r="T35" t="s">
        <v>55</v>
      </c>
      <c r="U35" cm="1">
        <f t="array" ref="U35">fluidConvert(S35,T35,V35,$S$22,$S$23,$T$24,$T$25)</f>
        <v>1</v>
      </c>
      <c r="V35" t="s">
        <v>37</v>
      </c>
      <c r="AK35" t="s">
        <v>127</v>
      </c>
    </row>
    <row r="36" spans="19:38" x14ac:dyDescent="0.25">
      <c r="S36" cm="1">
        <f t="array" ref="S36">fluidConvert($S$21,$T$21,T36,$S$22,$S$23,$T$24,$T$25)</f>
        <v>1.6076378200318895</v>
      </c>
      <c r="T36" t="s">
        <v>56</v>
      </c>
      <c r="U36" cm="1">
        <f t="array" ref="U36">fluidConvert(S36,T36,V36,$S$22,$S$23,$T$24,$T$25)</f>
        <v>1</v>
      </c>
      <c r="V36" t="s">
        <v>37</v>
      </c>
      <c r="AK36" t="s">
        <v>24</v>
      </c>
      <c r="AL36" t="str" cm="1">
        <f t="array" ref="AL36">fluidUnitType(AK36)</f>
        <v>Density</v>
      </c>
    </row>
    <row r="37" spans="19:38" x14ac:dyDescent="0.25">
      <c r="S37" cm="1">
        <f t="array" ref="S37">fluidConvert($S$21,$T$21,T37,$S$22,$S$23,$T$24,$T$25)</f>
        <v>166680.26590204067</v>
      </c>
      <c r="T37" t="s">
        <v>57</v>
      </c>
      <c r="U37" cm="1">
        <f t="array" ref="U37">fluidConvert(S37,T37,V37,$S$22,$S$23,$T$24,$T$25)</f>
        <v>1</v>
      </c>
      <c r="V37" t="s">
        <v>37</v>
      </c>
      <c r="AK37" t="s">
        <v>24</v>
      </c>
      <c r="AL37" t="str" cm="1">
        <f t="array" ref="AL37">fluidUnitType(AK37)</f>
        <v>Density</v>
      </c>
    </row>
    <row r="38" spans="19:38" x14ac:dyDescent="0.25">
      <c r="S38" cm="1">
        <f t="array" ref="S38">fluidConvert($S$21,$T$21,T38,$S$22,$S$23,$T$24,$T$25)</f>
        <v>46.300073861677959</v>
      </c>
      <c r="T38" t="s">
        <v>58</v>
      </c>
      <c r="U38" cm="1">
        <f t="array" ref="U38">fluidConvert(S38,T38,V38,$S$22,$S$23,$T$24,$T$25)</f>
        <v>1</v>
      </c>
      <c r="V38" t="s">
        <v>37</v>
      </c>
      <c r="AK38" t="s">
        <v>25</v>
      </c>
      <c r="AL38" t="str" cm="1">
        <f t="array" ref="AL38">fluidUnitType(AK38)</f>
        <v>Density</v>
      </c>
    </row>
    <row r="39" spans="19:38" x14ac:dyDescent="0.25">
      <c r="S39" cm="1">
        <f t="array" ref="S39">fluidConvert($S$21,$T$21,T39,$S$22,$S$23,$T$24,$T$25)</f>
        <v>2778.0044317006777</v>
      </c>
      <c r="T39" t="s">
        <v>59</v>
      </c>
      <c r="U39" cm="1">
        <f t="array" ref="U39">fluidConvert(S39,T39,V39,$S$22,$S$23,$T$24,$T$25)</f>
        <v>1</v>
      </c>
      <c r="V39" t="s">
        <v>37</v>
      </c>
      <c r="AK39" t="s">
        <v>26</v>
      </c>
      <c r="AL39" t="str" cm="1">
        <f t="array" ref="AL39">fluidUnitType(AK39)</f>
        <v>Density</v>
      </c>
    </row>
    <row r="40" spans="19:38" x14ac:dyDescent="0.25">
      <c r="S40" cm="1">
        <f t="array" ref="S40">fluidConvert($S$21,$T$21,T40,$S$22,$S$23,$T$24,$T$25)</f>
        <v>166680.26590204067</v>
      </c>
      <c r="T40" t="s">
        <v>60</v>
      </c>
      <c r="U40" cm="1">
        <f t="array" ref="U40">fluidConvert(S40,T40,V40,$S$22,$S$23,$T$24,$T$25)</f>
        <v>1</v>
      </c>
      <c r="V40" t="s">
        <v>37</v>
      </c>
      <c r="AK40" t="s">
        <v>27</v>
      </c>
      <c r="AL40" t="str" cm="1">
        <f t="array" ref="AL40">fluidUnitType(AK40)</f>
        <v>Density</v>
      </c>
    </row>
    <row r="41" spans="19:38" x14ac:dyDescent="0.25">
      <c r="AK41" t="s">
        <v>28</v>
      </c>
      <c r="AL41" t="str" cm="1">
        <f t="array" ref="AL41">fluidUnitType(AK41)</f>
        <v>Density</v>
      </c>
    </row>
    <row r="42" spans="19:38" x14ac:dyDescent="0.25">
      <c r="AK42" t="s">
        <v>29</v>
      </c>
      <c r="AL42" t="str" cm="1">
        <f t="array" ref="AL42">fluidUnitType(AK42)</f>
        <v>Density</v>
      </c>
    </row>
    <row r="43" spans="19:38" x14ac:dyDescent="0.25">
      <c r="AK43" t="s">
        <v>30</v>
      </c>
      <c r="AL43" t="str" cm="1">
        <f t="array" ref="AL43">fluidUnitType(AK43)</f>
        <v>Density</v>
      </c>
    </row>
    <row r="44" spans="19:38" x14ac:dyDescent="0.25">
      <c r="AK44" t="s">
        <v>31</v>
      </c>
      <c r="AL44" t="str" cm="1">
        <f t="array" ref="AL44">fluidUnitType(AK44)</f>
        <v>Density</v>
      </c>
    </row>
    <row r="46" spans="19:38" x14ac:dyDescent="0.25">
      <c r="AK46" t="s">
        <v>128</v>
      </c>
    </row>
    <row r="47" spans="19:38" x14ac:dyDescent="0.25">
      <c r="AK47" t="s">
        <v>46</v>
      </c>
      <c r="AL47" t="str" cm="1">
        <f t="array" ref="AL47">fluidUnitType(AK47)</f>
        <v>Standard Volume Flow</v>
      </c>
    </row>
    <row r="48" spans="19:38" x14ac:dyDescent="0.25">
      <c r="AK48" t="s">
        <v>47</v>
      </c>
      <c r="AL48" t="str" cm="1">
        <f t="array" ref="AL48">fluidUnitType(AK48)</f>
        <v>Standard Volume Flow</v>
      </c>
    </row>
    <row r="49" spans="37:38" x14ac:dyDescent="0.25">
      <c r="AK49" t="s">
        <v>48</v>
      </c>
      <c r="AL49" t="str" cm="1">
        <f t="array" ref="AL49">fluidUnitType(AK49)</f>
        <v>Standard Volume Flow</v>
      </c>
    </row>
    <row r="50" spans="37:38" x14ac:dyDescent="0.25">
      <c r="AK50" t="s">
        <v>49</v>
      </c>
      <c r="AL50" t="str" cm="1">
        <f t="array" ref="AL50">fluidUnitType(AK50)</f>
        <v>Standard Volume Flow</v>
      </c>
    </row>
    <row r="51" spans="37:38" x14ac:dyDescent="0.25">
      <c r="AK51" t="s">
        <v>50</v>
      </c>
      <c r="AL51" t="str" cm="1">
        <f t="array" ref="AL51">fluidUnitType(AK51)</f>
        <v>Standard Volume Flow</v>
      </c>
    </row>
    <row r="52" spans="37:38" x14ac:dyDescent="0.25">
      <c r="AK52" t="s">
        <v>51</v>
      </c>
      <c r="AL52" t="str" cm="1">
        <f t="array" ref="AL52">fluidUnitType(AK52)</f>
        <v>Standard Volume Flow</v>
      </c>
    </row>
    <row r="53" spans="37:38" x14ac:dyDescent="0.25">
      <c r="AK53" t="s">
        <v>52</v>
      </c>
      <c r="AL53" t="str" cm="1">
        <f t="array" ref="AL53">fluidUnitType(AK53)</f>
        <v>Standard Volume Flow</v>
      </c>
    </row>
    <row r="54" spans="37:38" x14ac:dyDescent="0.25">
      <c r="AK54" t="s">
        <v>53</v>
      </c>
      <c r="AL54" t="str" cm="1">
        <f t="array" ref="AL54">fluidUnitType(AK54)</f>
        <v>Standard Volume Flow</v>
      </c>
    </row>
    <row r="55" spans="37:38" x14ac:dyDescent="0.25">
      <c r="AK55" t="s">
        <v>54</v>
      </c>
      <c r="AL55" t="str" cm="1">
        <f t="array" ref="AL55">fluidUnitType(AK55)</f>
        <v>Standard Volume Flow</v>
      </c>
    </row>
    <row r="56" spans="37:38" x14ac:dyDescent="0.25">
      <c r="AK56" t="s">
        <v>55</v>
      </c>
      <c r="AL56" t="str" cm="1">
        <f t="array" ref="AL56">fluidUnitType(AK56)</f>
        <v>Standard Volume Flow</v>
      </c>
    </row>
    <row r="57" spans="37:38" x14ac:dyDescent="0.25">
      <c r="AK57" t="s">
        <v>56</v>
      </c>
      <c r="AL57" t="str" cm="1">
        <f t="array" ref="AL57">fluidUnitType(AK57)</f>
        <v>Standard Volume Flow</v>
      </c>
    </row>
    <row r="58" spans="37:38" x14ac:dyDescent="0.25">
      <c r="AK58" t="s">
        <v>57</v>
      </c>
      <c r="AL58" t="str" cm="1">
        <f t="array" ref="AL58">fluidUnitType(AK58)</f>
        <v>Standard Volume Flow</v>
      </c>
    </row>
    <row r="59" spans="37:38" x14ac:dyDescent="0.25">
      <c r="AK59" t="s">
        <v>58</v>
      </c>
      <c r="AL59" t="str" cm="1">
        <f t="array" ref="AL59">fluidUnitType(AK59)</f>
        <v>Standard Volume Flow</v>
      </c>
    </row>
    <row r="60" spans="37:38" x14ac:dyDescent="0.25">
      <c r="AK60" t="s">
        <v>59</v>
      </c>
      <c r="AL60" t="str" cm="1">
        <f t="array" ref="AL60">fluidUnitType(AK60)</f>
        <v>Standard Volume Flow</v>
      </c>
    </row>
    <row r="61" spans="37:38" x14ac:dyDescent="0.25">
      <c r="AK61" t="s">
        <v>60</v>
      </c>
      <c r="AL61" t="str" cm="1">
        <f t="array" ref="AL61">fluidUnitType(AK61)</f>
        <v>Standard Volume Flow</v>
      </c>
    </row>
    <row r="63" spans="37:38" x14ac:dyDescent="0.25">
      <c r="AK63" t="s">
        <v>129</v>
      </c>
    </row>
    <row r="64" spans="37:38" x14ac:dyDescent="0.25">
      <c r="AK64" t="s">
        <v>84</v>
      </c>
      <c r="AL64" t="str" cm="1">
        <f t="array" ref="AL64">fluidUnitType(AK64)</f>
        <v>Unit Error, floogle not recognized</v>
      </c>
    </row>
    <row r="66" spans="37:38" x14ac:dyDescent="0.25">
      <c r="AK66" t="s">
        <v>130</v>
      </c>
    </row>
    <row r="67" spans="37:38" x14ac:dyDescent="0.25">
      <c r="AK67" t="s">
        <v>99</v>
      </c>
      <c r="AL67" t="str" cm="1">
        <f t="array" ref="AL67">fluidUnitType(AK67)</f>
        <v>Length</v>
      </c>
    </row>
    <row r="68" spans="37:38" x14ac:dyDescent="0.25">
      <c r="AK68" t="s">
        <v>97</v>
      </c>
      <c r="AL68" t="str" cm="1">
        <f t="array" ref="AL68">fluidUnitType(AK68)</f>
        <v>Length</v>
      </c>
    </row>
    <row r="69" spans="37:38" x14ac:dyDescent="0.25">
      <c r="AK69" t="s">
        <v>100</v>
      </c>
      <c r="AL69" t="str" cm="1">
        <f t="array" ref="AL69">fluidUnitType(AK69)</f>
        <v>Length</v>
      </c>
    </row>
    <row r="70" spans="37:38" x14ac:dyDescent="0.25">
      <c r="AK70" t="s">
        <v>98</v>
      </c>
      <c r="AL70" t="str" cm="1">
        <f t="array" ref="AL70">fluidUnitType(AK70)</f>
        <v>Length</v>
      </c>
    </row>
    <row r="71" spans="37:38" x14ac:dyDescent="0.25">
      <c r="AK71" t="s">
        <v>101</v>
      </c>
      <c r="AL71" t="str" cm="1">
        <f t="array" ref="AL71">fluidUnitType(AK71)</f>
        <v>Length</v>
      </c>
    </row>
    <row r="72" spans="37:38" x14ac:dyDescent="0.25">
      <c r="AK72" t="s">
        <v>102</v>
      </c>
      <c r="AL72" t="str" cm="1">
        <f t="array" ref="AL72">fluidUnitType(AK72)</f>
        <v>Length</v>
      </c>
    </row>
    <row r="73" spans="37:38" x14ac:dyDescent="0.25">
      <c r="AK73" t="s">
        <v>103</v>
      </c>
      <c r="AL73" t="str" cm="1">
        <f t="array" ref="AL73">fluidUnitType(AK73)</f>
        <v>Length</v>
      </c>
    </row>
    <row r="74" spans="37:38" x14ac:dyDescent="0.25">
      <c r="AK74" t="s">
        <v>104</v>
      </c>
      <c r="AL74" t="str" cm="1">
        <f t="array" ref="AL74">fluidUnitType(AK74)</f>
        <v>Length</v>
      </c>
    </row>
    <row r="76" spans="37:38" x14ac:dyDescent="0.25">
      <c r="AK76" t="s">
        <v>131</v>
      </c>
    </row>
    <row r="77" spans="37:38" x14ac:dyDescent="0.25">
      <c r="AK77" t="s">
        <v>107</v>
      </c>
      <c r="AL77" t="str" cm="1">
        <f t="array" ref="AL77">fluidUnitType(AK77)</f>
        <v>Time</v>
      </c>
    </row>
    <row r="78" spans="37:38" x14ac:dyDescent="0.25">
      <c r="AK78" t="s">
        <v>108</v>
      </c>
      <c r="AL78" t="str" cm="1">
        <f t="array" ref="AL78">fluidUnitType(AK78)</f>
        <v>Time</v>
      </c>
    </row>
    <row r="79" spans="37:38" x14ac:dyDescent="0.25">
      <c r="AK79" t="s">
        <v>109</v>
      </c>
      <c r="AL79" t="str" cm="1">
        <f t="array" ref="AL79">fluidUnitType(AK79)</f>
        <v>Time</v>
      </c>
    </row>
    <row r="81" spans="37:38" x14ac:dyDescent="0.25">
      <c r="AK81" t="s">
        <v>156</v>
      </c>
    </row>
    <row r="82" spans="37:38" x14ac:dyDescent="0.25">
      <c r="AK82" t="s">
        <v>132</v>
      </c>
      <c r="AL82" t="str" cm="1">
        <f t="array" ref="AL82">fluidUnitType(AK82)</f>
        <v>Speed</v>
      </c>
    </row>
    <row r="83" spans="37:38" x14ac:dyDescent="0.25">
      <c r="AK83" t="s">
        <v>133</v>
      </c>
      <c r="AL83" t="str" cm="1">
        <f t="array" ref="AL83">fluidUnitType(AK83)</f>
        <v>Speed</v>
      </c>
    </row>
    <row r="84" spans="37:38" x14ac:dyDescent="0.25">
      <c r="AK84" t="s">
        <v>134</v>
      </c>
      <c r="AL84" t="str" cm="1">
        <f t="array" ref="AL84">fluidUnitType(AK84)</f>
        <v>Speed</v>
      </c>
    </row>
    <row r="85" spans="37:38" x14ac:dyDescent="0.25">
      <c r="AK85" t="s">
        <v>135</v>
      </c>
      <c r="AL85" t="str" cm="1">
        <f t="array" ref="AL85">fluidUnitType(AK85)</f>
        <v>Speed</v>
      </c>
    </row>
    <row r="86" spans="37:38" x14ac:dyDescent="0.25">
      <c r="AK86" t="s">
        <v>136</v>
      </c>
      <c r="AL86" t="str" cm="1">
        <f t="array" ref="AL86">fluidUnitType(AK86)</f>
        <v>Speed</v>
      </c>
    </row>
    <row r="87" spans="37:38" x14ac:dyDescent="0.25">
      <c r="AK87" t="s">
        <v>137</v>
      </c>
      <c r="AL87" t="str" cm="1">
        <f t="array" ref="AL87">fluidUnitType(AK87)</f>
        <v>Speed</v>
      </c>
    </row>
    <row r="88" spans="37:38" x14ac:dyDescent="0.25">
      <c r="AK88" t="s">
        <v>138</v>
      </c>
      <c r="AL88" t="str" cm="1">
        <f t="array" ref="AL88">fluidUnitType(AK88)</f>
        <v>Speed</v>
      </c>
    </row>
    <row r="89" spans="37:38" x14ac:dyDescent="0.25">
      <c r="AK89" t="s">
        <v>139</v>
      </c>
      <c r="AL89" t="str" cm="1">
        <f t="array" ref="AL89">fluidUnitType(AK89)</f>
        <v>Speed</v>
      </c>
    </row>
    <row r="90" spans="37:38" x14ac:dyDescent="0.25">
      <c r="AK90" t="s">
        <v>140</v>
      </c>
      <c r="AL90" t="str" cm="1">
        <f t="array" ref="AL90">fluidUnitType(AK90)</f>
        <v>Speed</v>
      </c>
    </row>
    <row r="91" spans="37:38" x14ac:dyDescent="0.25">
      <c r="AK91" t="s">
        <v>141</v>
      </c>
      <c r="AL91" t="str" cm="1">
        <f t="array" ref="AL91">fluidUnitType(AK91)</f>
        <v>Speed</v>
      </c>
    </row>
    <row r="92" spans="37:38" x14ac:dyDescent="0.25">
      <c r="AK92" t="s">
        <v>142</v>
      </c>
      <c r="AL92" t="str" cm="1">
        <f t="array" ref="AL92">fluidUnitType(AK92)</f>
        <v>Speed</v>
      </c>
    </row>
    <row r="93" spans="37:38" x14ac:dyDescent="0.25">
      <c r="AK93" t="s">
        <v>143</v>
      </c>
      <c r="AL93" t="str" cm="1">
        <f t="array" ref="AL93">fluidUnitType(AK93)</f>
        <v>Speed</v>
      </c>
    </row>
    <row r="94" spans="37:38" x14ac:dyDescent="0.25">
      <c r="AK94" t="s">
        <v>144</v>
      </c>
      <c r="AL94" t="str" cm="1">
        <f t="array" ref="AL94">fluidUnitType(AK94)</f>
        <v>Speed</v>
      </c>
    </row>
    <row r="95" spans="37:38" x14ac:dyDescent="0.25">
      <c r="AK95" t="s">
        <v>145</v>
      </c>
      <c r="AL95" t="str" cm="1">
        <f t="array" ref="AL95">fluidUnitType(AK95)</f>
        <v>Speed</v>
      </c>
    </row>
    <row r="96" spans="37:38" x14ac:dyDescent="0.25">
      <c r="AK96" t="s">
        <v>146</v>
      </c>
      <c r="AL96" t="str" cm="1">
        <f t="array" ref="AL96">fluidUnitType(AK96)</f>
        <v>Speed</v>
      </c>
    </row>
    <row r="97" spans="37:38" x14ac:dyDescent="0.25">
      <c r="AK97" t="s">
        <v>147</v>
      </c>
      <c r="AL97" t="str" cm="1">
        <f t="array" ref="AL97">fluidUnitType(AK97)</f>
        <v>Speed</v>
      </c>
    </row>
    <row r="98" spans="37:38" x14ac:dyDescent="0.25">
      <c r="AK98" t="s">
        <v>148</v>
      </c>
      <c r="AL98" t="str" cm="1">
        <f t="array" ref="AL98">fluidUnitType(AK98)</f>
        <v>Speed</v>
      </c>
    </row>
    <row r="99" spans="37:38" x14ac:dyDescent="0.25">
      <c r="AK99" t="s">
        <v>149</v>
      </c>
      <c r="AL99" t="str" cm="1">
        <f t="array" ref="AL99">fluidUnitType(AK99)</f>
        <v>Speed</v>
      </c>
    </row>
    <row r="100" spans="37:38" x14ac:dyDescent="0.25">
      <c r="AK100" t="s">
        <v>150</v>
      </c>
      <c r="AL100" t="str" cm="1">
        <f t="array" ref="AL100">fluidUnitType(AK100)</f>
        <v>Speed</v>
      </c>
    </row>
    <row r="101" spans="37:38" x14ac:dyDescent="0.25">
      <c r="AK101" t="s">
        <v>151</v>
      </c>
      <c r="AL101" t="str" cm="1">
        <f t="array" ref="AL101">fluidUnitType(AK101)</f>
        <v>Speed</v>
      </c>
    </row>
    <row r="102" spans="37:38" x14ac:dyDescent="0.25">
      <c r="AK102" t="s">
        <v>152</v>
      </c>
      <c r="AL102" t="str" cm="1">
        <f t="array" ref="AL102">fluidUnitType(AK102)</f>
        <v>Speed</v>
      </c>
    </row>
    <row r="103" spans="37:38" x14ac:dyDescent="0.25">
      <c r="AK103" t="s">
        <v>153</v>
      </c>
      <c r="AL103" t="str" cm="1">
        <f t="array" ref="AL103">fluidUnitType(AK103)</f>
        <v>Speed</v>
      </c>
    </row>
    <row r="104" spans="37:38" x14ac:dyDescent="0.25">
      <c r="AK104" t="s">
        <v>154</v>
      </c>
      <c r="AL104" t="str" cm="1">
        <f t="array" ref="AL104">fluidUnitType(AK104)</f>
        <v>Speed</v>
      </c>
    </row>
    <row r="105" spans="37:38" x14ac:dyDescent="0.25">
      <c r="AK105" t="s">
        <v>155</v>
      </c>
      <c r="AL105" t="str" cm="1">
        <f t="array" ref="AL105">fluidUnitType(AK105)</f>
        <v>Speed</v>
      </c>
    </row>
    <row r="106" spans="37:38" x14ac:dyDescent="0.25">
      <c r="AK106" t="s">
        <v>124</v>
      </c>
      <c r="AL106" t="str" cm="1">
        <f t="array" ref="AL106">fluidUnitType(AK106)</f>
        <v>Speed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AH47"/>
  <sheetViews>
    <sheetView workbookViewId="0">
      <selection activeCell="B56" sqref="B56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6" max="6" width="9.140625" customWidth="1"/>
    <col min="7" max="7" width="12.7109375" customWidth="1"/>
    <col min="8" max="8" width="13.28515625" customWidth="1"/>
    <col min="10" max="10" width="26.5703125" bestFit="1" customWidth="1"/>
    <col min="13" max="13" width="12" bestFit="1" customWidth="1"/>
    <col min="16" max="16" width="11.5703125" bestFit="1" customWidth="1"/>
    <col min="19" max="19" width="17" bestFit="1" customWidth="1"/>
    <col min="20" max="20" width="83" customWidth="1"/>
    <col min="22" max="22" width="13.28515625" bestFit="1" customWidth="1"/>
    <col min="28" max="28" width="17.85546875" bestFit="1" customWidth="1"/>
    <col min="29" max="29" width="20.140625" customWidth="1"/>
    <col min="30" max="30" width="24.85546875" bestFit="1" customWidth="1"/>
    <col min="33" max="33" width="13.85546875" bestFit="1" customWidth="1"/>
  </cols>
  <sheetData>
    <row r="1" spans="1:34" x14ac:dyDescent="0.25">
      <c r="A1" t="s">
        <v>79</v>
      </c>
      <c r="D1" t="s">
        <v>80</v>
      </c>
      <c r="G1" t="s">
        <v>81</v>
      </c>
      <c r="J1" t="s">
        <v>82</v>
      </c>
      <c r="M1" t="s">
        <v>96</v>
      </c>
      <c r="P1" t="s">
        <v>106</v>
      </c>
      <c r="S1" t="s">
        <v>105</v>
      </c>
      <c r="W1" t="s">
        <v>161</v>
      </c>
      <c r="AB1" t="s">
        <v>176</v>
      </c>
      <c r="AG1" t="s">
        <v>194</v>
      </c>
    </row>
    <row r="2" spans="1:34" x14ac:dyDescent="0.25">
      <c r="A2" t="s">
        <v>35</v>
      </c>
      <c r="B2" t="str">
        <f>""""&amp;A2&amp;""","</f>
        <v>"kg/s",</v>
      </c>
      <c r="D2" t="s">
        <v>23</v>
      </c>
      <c r="E2" t="str">
        <f>""""&amp;D2&amp;""","</f>
        <v>"ccs",</v>
      </c>
      <c r="G2" t="s">
        <v>24</v>
      </c>
      <c r="H2" t="str">
        <f>""""&amp;G2&amp;""","</f>
        <v>"kg/m3",</v>
      </c>
      <c r="J2" t="s">
        <v>46</v>
      </c>
      <c r="K2" t="str">
        <f>""""&amp;J2&amp;""","</f>
        <v>"scms",</v>
      </c>
      <c r="M2" t="s">
        <v>99</v>
      </c>
      <c r="N2" t="str">
        <f>""""&amp;M2&amp;""","</f>
        <v>"km",</v>
      </c>
      <c r="P2" t="s">
        <v>107</v>
      </c>
      <c r="Q2" t="str">
        <f t="shared" ref="Q2:Q4" si="0">""""&amp;P2&amp;""","</f>
        <v>"s",</v>
      </c>
      <c r="S2" t="str">
        <f>M2&amp;"/"&amp;$P$2</f>
        <v>km/s</v>
      </c>
      <c r="T2" t="str">
        <f t="shared" ref="T2:T26" si="1">""""&amp;S2&amp;""","</f>
        <v>"km/s",</v>
      </c>
      <c r="W2" t="str">
        <f>$T2</f>
        <v>"km/s",</v>
      </c>
      <c r="AB2" t="s">
        <v>62</v>
      </c>
      <c r="AC2" t="str">
        <f t="shared" ref="AC2:AC9" si="2">""""&amp;AB2&amp;""","</f>
        <v>"F",</v>
      </c>
      <c r="AG2" t="s">
        <v>9</v>
      </c>
      <c r="AH2" t="str">
        <f t="shared" ref="AH2:AH15" si="3">""""&amp;AG2&amp;""","</f>
        <v>"psia",</v>
      </c>
    </row>
    <row r="3" spans="1:34" x14ac:dyDescent="0.25">
      <c r="A3" t="s">
        <v>110</v>
      </c>
      <c r="B3" t="str">
        <f>""""&amp;A3&amp;""","</f>
        <v>"kg/min",</v>
      </c>
      <c r="D3" t="s">
        <v>10</v>
      </c>
      <c r="E3" t="str">
        <f t="shared" ref="E3:E10" si="4">""""&amp;D3&amp;""","</f>
        <v>"m3/s",</v>
      </c>
      <c r="G3" t="s">
        <v>25</v>
      </c>
      <c r="H3" t="str">
        <f>""""&amp;G3&amp;""","</f>
        <v>"kg/cm3",</v>
      </c>
      <c r="J3" t="s">
        <v>47</v>
      </c>
      <c r="K3" t="str">
        <f t="shared" ref="K3:K16" si="5">""""&amp;J3&amp;""","</f>
        <v>"scmm",</v>
      </c>
      <c r="M3" t="s">
        <v>97</v>
      </c>
      <c r="N3" t="str">
        <f t="shared" ref="N3:N9" si="6">""""&amp;M3&amp;""","</f>
        <v>"m",</v>
      </c>
      <c r="P3" t="s">
        <v>108</v>
      </c>
      <c r="Q3" t="str">
        <f t="shared" si="0"/>
        <v>"min",</v>
      </c>
      <c r="S3" t="str">
        <f t="shared" ref="S3:S9" si="7">M3&amp;"/"&amp;$P$2</f>
        <v>m/s</v>
      </c>
      <c r="T3" t="str">
        <f t="shared" si="1"/>
        <v>"m/s",</v>
      </c>
      <c r="W3" t="str">
        <f>$T10</f>
        <v>"km/min",</v>
      </c>
      <c r="AB3" t="s">
        <v>178</v>
      </c>
      <c r="AC3" t="str">
        <f t="shared" si="2"/>
        <v>"°F",</v>
      </c>
      <c r="AG3" t="s">
        <v>195</v>
      </c>
      <c r="AH3" t="str">
        <f t="shared" si="3"/>
        <v>"psig",</v>
      </c>
    </row>
    <row r="4" spans="1:34" x14ac:dyDescent="0.25">
      <c r="A4" t="s">
        <v>36</v>
      </c>
      <c r="B4" t="str">
        <f>""""&amp;A4&amp;""","</f>
        <v>"kg/hr",</v>
      </c>
      <c r="D4" t="s">
        <v>113</v>
      </c>
      <c r="E4" t="str">
        <f t="shared" si="4"/>
        <v>"m3/min",</v>
      </c>
      <c r="G4" t="s">
        <v>26</v>
      </c>
      <c r="H4" t="str">
        <f>""""&amp;G4&amp;""","</f>
        <v>"kg/L",</v>
      </c>
      <c r="J4" t="s">
        <v>48</v>
      </c>
      <c r="K4" t="str">
        <f t="shared" si="5"/>
        <v>"scmh",</v>
      </c>
      <c r="M4" t="s">
        <v>100</v>
      </c>
      <c r="N4" t="str">
        <f t="shared" si="6"/>
        <v>"cm",</v>
      </c>
      <c r="P4" t="s">
        <v>109</v>
      </c>
      <c r="Q4" t="str">
        <f t="shared" si="0"/>
        <v>"hr",</v>
      </c>
      <c r="S4" t="str">
        <f t="shared" si="7"/>
        <v>cm/s</v>
      </c>
      <c r="T4" t="str">
        <f t="shared" si="1"/>
        <v>"cm/s",</v>
      </c>
      <c r="W4" t="str">
        <f>$T18</f>
        <v>"km/hr",</v>
      </c>
      <c r="AB4" t="s">
        <v>177</v>
      </c>
      <c r="AC4" t="str">
        <f t="shared" si="2"/>
        <v>"C",</v>
      </c>
      <c r="AG4" t="s">
        <v>196</v>
      </c>
      <c r="AH4" t="str">
        <f t="shared" si="3"/>
        <v>"psid",</v>
      </c>
    </row>
    <row r="5" spans="1:34" x14ac:dyDescent="0.25">
      <c r="A5" t="s">
        <v>37</v>
      </c>
      <c r="B5" t="str">
        <f>""""&amp;A5&amp;""","</f>
        <v>"g/s",</v>
      </c>
      <c r="D5" t="s">
        <v>11</v>
      </c>
      <c r="E5" t="str">
        <f t="shared" si="4"/>
        <v>"m3/hr",</v>
      </c>
      <c r="G5" t="s">
        <v>27</v>
      </c>
      <c r="H5" t="str">
        <f>""""&amp;G5&amp;""","</f>
        <v>"g/m3",</v>
      </c>
      <c r="J5" t="s">
        <v>49</v>
      </c>
      <c r="K5" t="str">
        <f t="shared" si="5"/>
        <v>"slps",</v>
      </c>
      <c r="M5" t="s">
        <v>98</v>
      </c>
      <c r="N5" t="str">
        <f t="shared" si="6"/>
        <v>"mm",</v>
      </c>
      <c r="P5" t="s">
        <v>83</v>
      </c>
      <c r="Q5" t="str">
        <f>"Case "&amp;LEFT(_xlfn.CONCAT(Q2:Q4),LEN(_xlfn.CONCAT(Q2:Q4))-1)</f>
        <v>Case "s","min","hr"</v>
      </c>
      <c r="S5" t="str">
        <f t="shared" si="7"/>
        <v>mm/s</v>
      </c>
      <c r="T5" t="str">
        <f t="shared" si="1"/>
        <v>"mm/s",</v>
      </c>
      <c r="V5" t="s">
        <v>160</v>
      </c>
      <c r="W5" t="str">
        <f>"Case "&amp;LEFT(_xlfn.CONCAT(W2:W4),LEN(_xlfn.CONCAT(W2:W4))-1)</f>
        <v>Case "km/s","km/min","km/hr"</v>
      </c>
      <c r="AB5" t="s">
        <v>179</v>
      </c>
      <c r="AC5" t="str">
        <f t="shared" si="2"/>
        <v>"°C",</v>
      </c>
      <c r="AG5" t="s">
        <v>95</v>
      </c>
      <c r="AH5" t="str">
        <f t="shared" si="3"/>
        <v>"psi",</v>
      </c>
    </row>
    <row r="6" spans="1:34" x14ac:dyDescent="0.25">
      <c r="A6" t="s">
        <v>111</v>
      </c>
      <c r="B6" t="str">
        <f>""""&amp;A6&amp;""","</f>
        <v>"g/min",</v>
      </c>
      <c r="D6" t="s">
        <v>12</v>
      </c>
      <c r="E6" t="str">
        <f t="shared" si="4"/>
        <v>"cm3/s",</v>
      </c>
      <c r="G6" t="s">
        <v>121</v>
      </c>
      <c r="H6" t="str">
        <f>""""&amp;G6&amp;""","</f>
        <v>"g/cm3",</v>
      </c>
      <c r="J6" t="s">
        <v>50</v>
      </c>
      <c r="K6" t="str">
        <f t="shared" si="5"/>
        <v>"slpm",</v>
      </c>
      <c r="M6" t="s">
        <v>101</v>
      </c>
      <c r="N6" t="str">
        <f t="shared" si="6"/>
        <v>"in",</v>
      </c>
      <c r="S6" t="str">
        <f t="shared" si="7"/>
        <v>in/s</v>
      </c>
      <c r="T6" t="str">
        <f t="shared" si="1"/>
        <v>"in/s",</v>
      </c>
      <c r="AB6" t="s">
        <v>2</v>
      </c>
      <c r="AC6" t="str">
        <f t="shared" si="2"/>
        <v>"K",</v>
      </c>
      <c r="AG6" t="s">
        <v>207</v>
      </c>
      <c r="AH6" t="str">
        <f t="shared" si="3"/>
        <v>"ksi",</v>
      </c>
    </row>
    <row r="7" spans="1:34" x14ac:dyDescent="0.25">
      <c r="A7" t="s">
        <v>38</v>
      </c>
      <c r="B7" t="str">
        <f>""""&amp;A7&amp;""","</f>
        <v>"g/hr",</v>
      </c>
      <c r="D7" t="s">
        <v>114</v>
      </c>
      <c r="E7" t="str">
        <f t="shared" si="4"/>
        <v>"cm3/min",</v>
      </c>
      <c r="G7" t="s">
        <v>28</v>
      </c>
      <c r="H7" t="str">
        <f>""""&amp;G7&amp;""","</f>
        <v>"g/L",</v>
      </c>
      <c r="J7" t="s">
        <v>51</v>
      </c>
      <c r="K7" t="str">
        <f t="shared" si="5"/>
        <v>"slph",</v>
      </c>
      <c r="M7" t="s">
        <v>102</v>
      </c>
      <c r="N7" t="str">
        <f t="shared" si="6"/>
        <v>"ft",</v>
      </c>
      <c r="S7" t="str">
        <f t="shared" si="7"/>
        <v>ft/s</v>
      </c>
      <c r="T7" t="str">
        <f t="shared" si="1"/>
        <v>"ft/s",</v>
      </c>
      <c r="W7" t="s">
        <v>162</v>
      </c>
      <c r="AB7" t="s">
        <v>8</v>
      </c>
      <c r="AC7" t="str">
        <f t="shared" si="2"/>
        <v>"R",</v>
      </c>
      <c r="AG7" t="s">
        <v>197</v>
      </c>
      <c r="AH7" t="str">
        <f>""""&amp;AG7&amp;""","</f>
        <v>"lbf/in2",</v>
      </c>
    </row>
    <row r="8" spans="1:34" x14ac:dyDescent="0.25">
      <c r="A8" t="s">
        <v>39</v>
      </c>
      <c r="B8" t="str">
        <f>""""&amp;A8&amp;""","</f>
        <v>"lbm/s",</v>
      </c>
      <c r="D8" t="s">
        <v>13</v>
      </c>
      <c r="E8" t="str">
        <f t="shared" si="4"/>
        <v>"cm3/hr",</v>
      </c>
      <c r="G8" t="s">
        <v>29</v>
      </c>
      <c r="H8" t="str">
        <f>""""&amp;G8&amp;""","</f>
        <v>"lbm/in3",</v>
      </c>
      <c r="J8" t="s">
        <v>52</v>
      </c>
      <c r="K8" t="str">
        <f t="shared" si="5"/>
        <v>"sccs",</v>
      </c>
      <c r="M8" t="s">
        <v>103</v>
      </c>
      <c r="N8" t="str">
        <f t="shared" si="6"/>
        <v>"yd",</v>
      </c>
      <c r="S8" t="str">
        <f t="shared" si="7"/>
        <v>yd/s</v>
      </c>
      <c r="T8" t="str">
        <f t="shared" si="1"/>
        <v>"yd/s",</v>
      </c>
      <c r="W8" t="str">
        <f>$T3</f>
        <v>"m/s",</v>
      </c>
      <c r="AB8" t="s">
        <v>180</v>
      </c>
      <c r="AC8" t="str">
        <f t="shared" si="2"/>
        <v>"Rank",</v>
      </c>
      <c r="AG8" t="s">
        <v>198</v>
      </c>
      <c r="AH8" t="str">
        <f>""""&amp;AG8&amp;""","</f>
        <v>"lb/in2",</v>
      </c>
    </row>
    <row r="9" spans="1:34" x14ac:dyDescent="0.25">
      <c r="A9" t="s">
        <v>112</v>
      </c>
      <c r="B9" t="str">
        <f>""""&amp;A9&amp;""","</f>
        <v>"lbm/min",</v>
      </c>
      <c r="D9" t="s">
        <v>14</v>
      </c>
      <c r="E9" t="str">
        <f t="shared" si="4"/>
        <v>"L/s",</v>
      </c>
      <c r="G9" t="s">
        <v>30</v>
      </c>
      <c r="H9" t="str">
        <f>""""&amp;G9&amp;""","</f>
        <v>"lbm/ft3",</v>
      </c>
      <c r="J9" t="s">
        <v>53</v>
      </c>
      <c r="K9" t="str">
        <f t="shared" si="5"/>
        <v>"sccm",</v>
      </c>
      <c r="M9" t="s">
        <v>104</v>
      </c>
      <c r="N9" t="str">
        <f t="shared" si="6"/>
        <v>"mi",</v>
      </c>
      <c r="S9" t="str">
        <f t="shared" si="7"/>
        <v>mi/s</v>
      </c>
      <c r="T9" t="str">
        <f t="shared" si="1"/>
        <v>"mi/s",</v>
      </c>
      <c r="W9" t="str">
        <f>$T11</f>
        <v>"m/min",</v>
      </c>
      <c r="AB9" t="s">
        <v>181</v>
      </c>
      <c r="AC9" t="str">
        <f t="shared" si="2"/>
        <v>"Rankine",</v>
      </c>
      <c r="AG9" t="s">
        <v>199</v>
      </c>
      <c r="AH9" t="str">
        <f>""""&amp;AG9&amp;""","</f>
        <v>"mmHg",</v>
      </c>
    </row>
    <row r="10" spans="1:34" x14ac:dyDescent="0.25">
      <c r="A10" t="s">
        <v>40</v>
      </c>
      <c r="B10" t="str">
        <f>""""&amp;A10&amp;""","</f>
        <v>"lbm/hr",</v>
      </c>
      <c r="D10" t="s">
        <v>122</v>
      </c>
      <c r="E10" t="str">
        <f t="shared" si="4"/>
        <v>"lps",</v>
      </c>
      <c r="G10" t="s">
        <v>31</v>
      </c>
      <c r="H10" t="str">
        <f>""""&amp;G10&amp;""","</f>
        <v>"lbm/gal",</v>
      </c>
      <c r="J10" t="s">
        <v>54</v>
      </c>
      <c r="K10" t="str">
        <f t="shared" si="5"/>
        <v>"scch",</v>
      </c>
      <c r="M10" t="s">
        <v>83</v>
      </c>
      <c r="N10" t="str">
        <f>"Case "&amp;LEFT(_xlfn.CONCAT(N2:N9),LEN(_xlfn.CONCAT(N2:N9))-1)</f>
        <v>Case "km","m","cm","mm","in","ft","yd","mi"</v>
      </c>
      <c r="S10" t="str">
        <f>M2&amp;"/"&amp;$P$3</f>
        <v>km/min</v>
      </c>
      <c r="T10" t="str">
        <f t="shared" si="1"/>
        <v>"km/min",</v>
      </c>
      <c r="W10" t="str">
        <f>$T19</f>
        <v>"m/hr",</v>
      </c>
      <c r="AB10" t="s">
        <v>83</v>
      </c>
      <c r="AC10" t="str">
        <f>"Case "&amp;LEFT(_xlfn.CONCAT(AC2:AC9),LEN(_xlfn.CONCAT(AC2:AC9))-1)</f>
        <v>Case "F","°F","C","°C","K","R","Rank","Rankine"</v>
      </c>
      <c r="AG10" t="s">
        <v>200</v>
      </c>
      <c r="AH10" t="str">
        <f>""""&amp;AG10&amp;""","</f>
        <v>"atm",</v>
      </c>
    </row>
    <row r="11" spans="1:34" x14ac:dyDescent="0.25">
      <c r="A11" t="s">
        <v>83</v>
      </c>
      <c r="B11" t="str">
        <f>"Case "&amp;LEFT(_xlfn.CONCAT(B2:B10),LEN(_xlfn.CONCAT(B2:B10))-1)</f>
        <v>Case "kg/s","kg/min","kg/hr","g/s","g/min","g/hr","lbm/s","lbm/min","lbm/hr"</v>
      </c>
      <c r="D11" t="s">
        <v>115</v>
      </c>
      <c r="E11" t="str">
        <f>""""&amp;D11&amp;""","</f>
        <v>"L/min",</v>
      </c>
      <c r="G11" t="s">
        <v>83</v>
      </c>
      <c r="H11" t="str">
        <f>"Case "&amp;LEFT(_xlfn.CONCAT(H2:H10),LEN(_xlfn.CONCAT(H2:H10))-1)</f>
        <v>Case "kg/m3","kg/cm3","kg/L","g/m3","g/cm3","g/L","lbm/in3","lbm/ft3","lbm/gal"</v>
      </c>
      <c r="J11" t="s">
        <v>55</v>
      </c>
      <c r="K11" t="str">
        <f t="shared" si="5"/>
        <v>"scfs",</v>
      </c>
      <c r="S11" t="str">
        <f t="shared" ref="S11:S18" si="8">M3&amp;"/"&amp;$P$3</f>
        <v>m/min</v>
      </c>
      <c r="T11" t="str">
        <f t="shared" si="1"/>
        <v>"m/min",</v>
      </c>
      <c r="V11" t="s">
        <v>164</v>
      </c>
      <c r="W11" t="str">
        <f>"Case "&amp;LEFT(_xlfn.CONCAT(W8:W10),LEN(_xlfn.CONCAT(W8:W10))-1)</f>
        <v>Case "m/s","m/min","m/hr"</v>
      </c>
      <c r="AG11" t="s">
        <v>3</v>
      </c>
      <c r="AH11" t="str">
        <f>""""&amp;AG11&amp;""","</f>
        <v>"Pa",</v>
      </c>
    </row>
    <row r="12" spans="1:34" x14ac:dyDescent="0.25">
      <c r="D12" t="s">
        <v>120</v>
      </c>
      <c r="E12" t="str">
        <f>""""&amp;D12&amp;""","</f>
        <v>"lpm",</v>
      </c>
      <c r="J12" t="s">
        <v>56</v>
      </c>
      <c r="K12" t="str">
        <f t="shared" si="5"/>
        <v>"scfm",</v>
      </c>
      <c r="S12" t="str">
        <f t="shared" si="8"/>
        <v>cm/min</v>
      </c>
      <c r="T12" t="str">
        <f t="shared" si="1"/>
        <v>"cm/min",</v>
      </c>
      <c r="AB12" t="s">
        <v>183</v>
      </c>
      <c r="AC12" t="s">
        <v>190</v>
      </c>
      <c r="AD12" t="s">
        <v>191</v>
      </c>
      <c r="AG12" t="s">
        <v>70</v>
      </c>
      <c r="AH12" t="str">
        <f>""""&amp;AG12&amp;""","</f>
        <v>"kPa",</v>
      </c>
    </row>
    <row r="13" spans="1:34" x14ac:dyDescent="0.25">
      <c r="D13" t="s">
        <v>15</v>
      </c>
      <c r="E13" t="str">
        <f>""""&amp;D13&amp;""","</f>
        <v>"L/hr",</v>
      </c>
      <c r="J13" t="s">
        <v>57</v>
      </c>
      <c r="K13" t="str">
        <f t="shared" si="5"/>
        <v>"scfh",</v>
      </c>
      <c r="S13" t="str">
        <f t="shared" si="8"/>
        <v>mm/min</v>
      </c>
      <c r="T13" t="str">
        <f t="shared" si="1"/>
        <v>"mm/min",</v>
      </c>
      <c r="W13" t="s">
        <v>163</v>
      </c>
      <c r="AB13" t="str">
        <f>$AC2</f>
        <v>"F",</v>
      </c>
      <c r="AD13" t="s">
        <v>192</v>
      </c>
      <c r="AG13" t="s">
        <v>201</v>
      </c>
      <c r="AH13" t="str">
        <f>""""&amp;AG13&amp;""","</f>
        <v>"MPa",</v>
      </c>
    </row>
    <row r="14" spans="1:34" x14ac:dyDescent="0.25">
      <c r="D14" t="s">
        <v>16</v>
      </c>
      <c r="E14" t="str">
        <f>""""&amp;D14&amp;""","</f>
        <v>"in3/s",</v>
      </c>
      <c r="J14" t="s">
        <v>58</v>
      </c>
      <c r="K14" t="str">
        <f t="shared" si="5"/>
        <v>"scis",</v>
      </c>
      <c r="S14" t="str">
        <f t="shared" si="8"/>
        <v>in/min</v>
      </c>
      <c r="T14" t="str">
        <f t="shared" si="1"/>
        <v>"in/min",</v>
      </c>
      <c r="W14" t="str">
        <f>$T4</f>
        <v>"cm/s",</v>
      </c>
      <c r="AB14" t="str">
        <f>$AC3</f>
        <v>"°F",</v>
      </c>
      <c r="AG14" t="s">
        <v>202</v>
      </c>
      <c r="AH14" t="str">
        <f>""""&amp;AG14&amp;""","</f>
        <v>"GPa",</v>
      </c>
    </row>
    <row r="15" spans="1:34" x14ac:dyDescent="0.25">
      <c r="D15" t="s">
        <v>116</v>
      </c>
      <c r="E15" t="str">
        <f>""""&amp;D15&amp;""","</f>
        <v>"in3/min",</v>
      </c>
      <c r="J15" t="s">
        <v>59</v>
      </c>
      <c r="K15" t="str">
        <f t="shared" si="5"/>
        <v>"scim",</v>
      </c>
      <c r="S15" t="str">
        <f t="shared" si="8"/>
        <v>ft/min</v>
      </c>
      <c r="T15" t="str">
        <f t="shared" si="1"/>
        <v>"ft/min",</v>
      </c>
      <c r="W15" t="str">
        <f>$T12</f>
        <v>"cm/min",</v>
      </c>
      <c r="AC15" t="s">
        <v>193</v>
      </c>
      <c r="AG15" t="s">
        <v>203</v>
      </c>
      <c r="AH15" t="str">
        <f>""""&amp;AG15&amp;""","</f>
        <v>"torr",</v>
      </c>
    </row>
    <row r="16" spans="1:34" x14ac:dyDescent="0.25">
      <c r="D16" t="s">
        <v>17</v>
      </c>
      <c r="E16" t="str">
        <f>""""&amp;D16&amp;""","</f>
        <v>"in3/hr",</v>
      </c>
      <c r="J16" t="s">
        <v>60</v>
      </c>
      <c r="K16" t="str">
        <f t="shared" si="5"/>
        <v>"scih",</v>
      </c>
      <c r="S16" t="str">
        <f t="shared" si="8"/>
        <v>yd/min</v>
      </c>
      <c r="T16" t="str">
        <f t="shared" si="1"/>
        <v>"yd/min",</v>
      </c>
      <c r="W16" t="str">
        <f>$T20</f>
        <v>"cm/hr",</v>
      </c>
      <c r="AB16" t="s">
        <v>184</v>
      </c>
      <c r="AC16" t="s">
        <v>182</v>
      </c>
      <c r="AD16" t="str">
        <f>"Case "&amp;LEFT(_xlfn.CONCAT($AB$13:$AB$14),LEN(_xlfn.CONCAT($AB$13:$AB$14))-1)</f>
        <v>Case "F","°F"</v>
      </c>
      <c r="AE16" t="s">
        <v>62</v>
      </c>
      <c r="AG16" t="s">
        <v>205</v>
      </c>
      <c r="AH16" t="str">
        <f>""""&amp;AG16&amp;""","</f>
        <v>"Torr",</v>
      </c>
    </row>
    <row r="17" spans="4:34" x14ac:dyDescent="0.25">
      <c r="D17" t="s">
        <v>18</v>
      </c>
      <c r="E17" t="str">
        <f>""""&amp;D17&amp;""","</f>
        <v>"ft3/s",</v>
      </c>
      <c r="J17" t="s">
        <v>83</v>
      </c>
      <c r="K17" t="str">
        <f>"Case "&amp;LEFT(_xlfn.CONCAT(K2:K16),LEN(_xlfn.CONCAT(K2:K16))-1)</f>
        <v>Case "scms","scmm","scmh","slps","slpm","slph","sccs","sccm","scch","scfs","scfm","scfh","scis","scim","scih"</v>
      </c>
      <c r="S17" t="str">
        <f t="shared" si="8"/>
        <v>mi/min</v>
      </c>
      <c r="T17" t="str">
        <f t="shared" si="1"/>
        <v>"mi/min",</v>
      </c>
      <c r="V17" t="s">
        <v>165</v>
      </c>
      <c r="W17" t="str">
        <f>"Case "&amp;LEFT(_xlfn.CONCAT(W14:W16),LEN(_xlfn.CONCAT(W14:W16))-1)</f>
        <v>Case "cm/s","cm/min","cm/hr"</v>
      </c>
      <c r="AB17" t="str">
        <f>$AC4</f>
        <v>"C",</v>
      </c>
      <c r="AD17" t="str">
        <f>$AD$12&amp;" = "&amp;""""&amp;AE16&amp;""""</f>
        <v>from_unit_unit = "F"</v>
      </c>
      <c r="AG17" t="s">
        <v>204</v>
      </c>
      <c r="AH17" t="str">
        <f>""""&amp;AG17&amp;""","</f>
        <v>"bar",</v>
      </c>
    </row>
    <row r="18" spans="4:34" x14ac:dyDescent="0.25">
      <c r="D18" t="s">
        <v>117</v>
      </c>
      <c r="E18" t="str">
        <f>""""&amp;D18&amp;""","</f>
        <v>"ft3/min",</v>
      </c>
      <c r="S18" t="str">
        <f>M2&amp;"/"&amp;$P$4</f>
        <v>km/hr</v>
      </c>
      <c r="T18" t="str">
        <f t="shared" si="1"/>
        <v>"km/hr",</v>
      </c>
      <c r="AB18" t="str">
        <f>$AC5</f>
        <v>"°C",</v>
      </c>
      <c r="AC18" t="s">
        <v>187</v>
      </c>
      <c r="AD18" t="str">
        <f>"Case "&amp;LEFT(_xlfn.CONCAT($AB$17:$AB$18),LEN(_xlfn.CONCAT($AB$17:$AB$18))-1)</f>
        <v>Case "C","°C"</v>
      </c>
      <c r="AE18" t="s">
        <v>177</v>
      </c>
      <c r="AH18" t="str">
        <f>"Case "&amp;LEFT(_xlfn.CONCAT(AH2:AH17),LEN(_xlfn.CONCAT(AH2:AH17))-1)</f>
        <v>Case "psia","psig","psid","psi","ksi","lbf/in2","lb/in2","mmHg","atm","Pa","kPa","MPa","GPa","torr","Torr","bar"</v>
      </c>
    </row>
    <row r="19" spans="4:34" x14ac:dyDescent="0.25">
      <c r="D19" t="s">
        <v>19</v>
      </c>
      <c r="E19" t="str">
        <f>""""&amp;D19&amp;""","</f>
        <v>"ft3/hr",</v>
      </c>
      <c r="S19" t="str">
        <f t="shared" ref="S19:S25" si="9">M3&amp;"/"&amp;$P$4</f>
        <v>m/hr</v>
      </c>
      <c r="T19" t="str">
        <f t="shared" si="1"/>
        <v>"m/hr",</v>
      </c>
      <c r="W19" t="s">
        <v>166</v>
      </c>
      <c r="AD19" t="str">
        <f>$AD$12&amp;" = "&amp;""""&amp;AE18&amp;""""</f>
        <v>from_unit_unit = "C"</v>
      </c>
      <c r="AH19" t="str">
        <f>"fluidUnitType = "&amp;""""&amp;"Pressure"&amp;""""</f>
        <v>fluidUnitType = "Pressure"</v>
      </c>
    </row>
    <row r="20" spans="4:34" x14ac:dyDescent="0.25">
      <c r="D20" t="s">
        <v>20</v>
      </c>
      <c r="E20" t="str">
        <f>""""&amp;D20&amp;""","</f>
        <v>"gal/s",</v>
      </c>
      <c r="S20" t="str">
        <f t="shared" si="9"/>
        <v>cm/hr</v>
      </c>
      <c r="T20" t="str">
        <f t="shared" si="1"/>
        <v>"cm/hr",</v>
      </c>
      <c r="W20" t="str">
        <f>$T5</f>
        <v>"mm/s",</v>
      </c>
      <c r="AB20" t="s">
        <v>185</v>
      </c>
      <c r="AC20" t="s">
        <v>188</v>
      </c>
      <c r="AD20" t="str">
        <f>"Case "&amp;LEFT(_xlfn.CONCAT($AB$21),LEN(_xlfn.CONCAT($AB$21))-1)</f>
        <v>Case "K"</v>
      </c>
      <c r="AE20" t="s">
        <v>2</v>
      </c>
    </row>
    <row r="21" spans="4:34" x14ac:dyDescent="0.25">
      <c r="D21" t="s">
        <v>123</v>
      </c>
      <c r="E21" t="str">
        <f>""""&amp;D21&amp;""","</f>
        <v>"gps",</v>
      </c>
      <c r="S21" t="str">
        <f t="shared" si="9"/>
        <v>mm/hr</v>
      </c>
      <c r="T21" t="str">
        <f t="shared" si="1"/>
        <v>"mm/hr",</v>
      </c>
      <c r="W21" t="str">
        <f>$T13</f>
        <v>"mm/min",</v>
      </c>
      <c r="AB21" t="str">
        <f>$AC6</f>
        <v>"K",</v>
      </c>
      <c r="AD21" t="str">
        <f>$AD$12&amp;" = "&amp;""""&amp;AE20&amp;""""</f>
        <v>from_unit_unit = "K"</v>
      </c>
    </row>
    <row r="22" spans="4:34" x14ac:dyDescent="0.25">
      <c r="D22" t="s">
        <v>118</v>
      </c>
      <c r="E22" t="str">
        <f>""""&amp;D22&amp;""","</f>
        <v>"gal/min",</v>
      </c>
      <c r="S22" t="str">
        <f t="shared" si="9"/>
        <v>in/hr</v>
      </c>
      <c r="T22" t="str">
        <f t="shared" si="1"/>
        <v>"in/hr",</v>
      </c>
      <c r="W22" t="str">
        <f>$T21</f>
        <v>"mm/hr",</v>
      </c>
      <c r="AC22" t="s">
        <v>189</v>
      </c>
      <c r="AD22" t="str">
        <f>"Case "&amp;LEFT(_xlfn.CONCAT($AB$24:$AB$26),LEN(_xlfn.CONCAT($AB$24:$AB$26))-1)</f>
        <v>Case "R","Rank","Rankine"</v>
      </c>
      <c r="AE22" t="s">
        <v>180</v>
      </c>
    </row>
    <row r="23" spans="4:34" x14ac:dyDescent="0.25">
      <c r="D23" t="s">
        <v>119</v>
      </c>
      <c r="E23" t="str">
        <f>""""&amp;D23&amp;""","</f>
        <v>"gpm",</v>
      </c>
      <c r="S23" t="str">
        <f t="shared" si="9"/>
        <v>ft/hr</v>
      </c>
      <c r="T23" t="str">
        <f t="shared" si="1"/>
        <v>"ft/hr",</v>
      </c>
      <c r="V23" t="s">
        <v>167</v>
      </c>
      <c r="W23" t="str">
        <f>"Case "&amp;LEFT(_xlfn.CONCAT(W20:W22),LEN(_xlfn.CONCAT(W20:W22))-1)</f>
        <v>Case "mm/s","mm/min","mm/hr"</v>
      </c>
      <c r="AB23" t="s">
        <v>186</v>
      </c>
      <c r="AD23" t="str">
        <f>$AD$12&amp;" = "&amp;""""&amp;AE22&amp;""""</f>
        <v>from_unit_unit = "Rank"</v>
      </c>
    </row>
    <row r="24" spans="4:34" x14ac:dyDescent="0.25">
      <c r="D24" t="s">
        <v>21</v>
      </c>
      <c r="E24" t="str">
        <f>""""&amp;D24&amp;""","</f>
        <v>"gal/hr",</v>
      </c>
      <c r="S24" t="str">
        <f>M8&amp;"/"&amp;$P$4</f>
        <v>yd/hr</v>
      </c>
      <c r="T24" t="str">
        <f t="shared" si="1"/>
        <v>"yd/hr",</v>
      </c>
      <c r="AB24" t="str">
        <f>$AC7</f>
        <v>"R",</v>
      </c>
    </row>
    <row r="25" spans="4:34" x14ac:dyDescent="0.25">
      <c r="D25" t="s">
        <v>83</v>
      </c>
      <c r="E25" t="str">
        <f>"Case "&amp;LEFT(_xlfn.CONCAT(E2:E24),LEN(_xlfn.CONCAT(E2:E24))-1)</f>
        <v>Case "ccs","m3/s","m3/min","m3/hr","cm3/s","cm3/min","cm3/hr","L/s","lps","L/min","lpm","L/hr","in3/s","in3/min","in3/hr","ft3/s","ft3/min","ft3/hr","gal/s","gps","gal/min","gpm","gal/hr"</v>
      </c>
      <c r="S25" t="str">
        <f t="shared" si="9"/>
        <v>mi/hr</v>
      </c>
      <c r="T25" t="str">
        <f t="shared" si="1"/>
        <v>"mi/hr",</v>
      </c>
      <c r="W25" t="s">
        <v>168</v>
      </c>
      <c r="AB25" t="str">
        <f>$AC8</f>
        <v>"Rank",</v>
      </c>
      <c r="AC25" t="s">
        <v>182</v>
      </c>
      <c r="AD25" t="str">
        <f>"Case "&amp;LEFT(_xlfn.CONCAT($AB$13:$AB$14),LEN(_xlfn.CONCAT($AB$13:$AB$14))-1)</f>
        <v>Case "F","°F"</v>
      </c>
      <c r="AE25" t="s">
        <v>62</v>
      </c>
      <c r="AH25" t="str">
        <f>AH5</f>
        <v>"psi",</v>
      </c>
    </row>
    <row r="26" spans="4:34" x14ac:dyDescent="0.25">
      <c r="S26" t="s">
        <v>124</v>
      </c>
      <c r="T26" t="str">
        <f t="shared" si="1"/>
        <v>"mph",</v>
      </c>
      <c r="W26" t="str">
        <f>$T6</f>
        <v>"in/s",</v>
      </c>
      <c r="AB26" t="str">
        <f>$AC9</f>
        <v>"Rankine",</v>
      </c>
      <c r="AD26" t="str">
        <f>$AD$13&amp;" = "&amp;""""&amp;AE25&amp;""""</f>
        <v>to_unit_unit = "F"</v>
      </c>
      <c r="AH26" t="str">
        <f>AH9</f>
        <v>"mmHg",</v>
      </c>
    </row>
    <row r="27" spans="4:34" x14ac:dyDescent="0.25">
      <c r="S27" t="s">
        <v>83</v>
      </c>
      <c r="T27" t="str">
        <f>"Case "&amp;LEFT(_xlfn.CONCAT(T2:T26),LEN(_xlfn.CONCAT(T2:T26))-1)</f>
        <v>Case "km/s","m/s","cm/s","mm/s","in/s","ft/s","yd/s","mi/s","km/min","m/min","cm/min","mm/min","in/min","ft/min","yd/min","mi/min","km/hr","m/hr","cm/hr","mm/hr","in/hr","ft/hr","yd/hr","mi/hr","mph"</v>
      </c>
      <c r="W27" t="str">
        <f>$T14</f>
        <v>"in/min",</v>
      </c>
      <c r="AC27" t="s">
        <v>187</v>
      </c>
      <c r="AD27" t="str">
        <f>"Case "&amp;LEFT(_xlfn.CONCAT($AB$17:$AB$18),LEN(_xlfn.CONCAT($AB$17:$AB$18))-1)</f>
        <v>Case "C","°C"</v>
      </c>
      <c r="AE27" t="s">
        <v>177</v>
      </c>
      <c r="AH27" t="str">
        <f>AH10</f>
        <v>"atm",</v>
      </c>
    </row>
    <row r="28" spans="4:34" x14ac:dyDescent="0.25">
      <c r="W28" t="str">
        <f>$T22</f>
        <v>"in/hr",</v>
      </c>
      <c r="AD28" t="str">
        <f>$AD$13&amp;" = "&amp;""""&amp;AE27&amp;""""</f>
        <v>to_unit_unit = "C"</v>
      </c>
      <c r="AH28" t="str">
        <f>AH11</f>
        <v>"Pa",</v>
      </c>
    </row>
    <row r="29" spans="4:34" x14ac:dyDescent="0.25">
      <c r="S29" t="s">
        <v>158</v>
      </c>
      <c r="T29" t="str">
        <f>"Case "&amp;LEFT(_xlfn.CONCAT(T2:T9),LEN(_xlfn.CONCAT(T2:T9))-1)</f>
        <v>Case "km/s","m/s","cm/s","mm/s","in/s","ft/s","yd/s","mi/s"</v>
      </c>
      <c r="V29" t="s">
        <v>169</v>
      </c>
      <c r="W29" t="str">
        <f>"Case "&amp;LEFT(_xlfn.CONCAT(W26:W28),LEN(_xlfn.CONCAT(W26:W28))-1)</f>
        <v>Case "in/s","in/min","in/hr"</v>
      </c>
      <c r="AC29" t="s">
        <v>188</v>
      </c>
      <c r="AD29" t="str">
        <f>"Case "&amp;LEFT(_xlfn.CONCAT($AB$21),LEN(_xlfn.CONCAT($AB$21))-1)</f>
        <v>Case "K"</v>
      </c>
      <c r="AE29" t="s">
        <v>2</v>
      </c>
      <c r="AH29" t="str">
        <f>AH16</f>
        <v>"Torr",</v>
      </c>
    </row>
    <row r="30" spans="4:34" x14ac:dyDescent="0.25">
      <c r="S30" t="s">
        <v>157</v>
      </c>
      <c r="T30" t="str">
        <f>"Case "&amp;LEFT(_xlfn.CONCAT(T10:T17),LEN(_xlfn.CONCAT(T10:T17))-1)</f>
        <v>Case "km/min","m/min","cm/min","mm/min","in/min","ft/min","yd/min","mi/min"</v>
      </c>
      <c r="AD30" t="str">
        <f>$AD$13&amp;" = "&amp;""""&amp;AE29&amp;""""</f>
        <v>to_unit_unit = "K"</v>
      </c>
      <c r="AH30" t="str">
        <f>"Case "&amp;LEFT(_xlfn.CONCAT(AH20:AH29),LEN(_xlfn.CONCAT(AH20:AH29))-1)</f>
        <v>Case "psi","mmHg","atm","Pa","Torr"</v>
      </c>
    </row>
    <row r="31" spans="4:34" x14ac:dyDescent="0.25">
      <c r="S31" t="s">
        <v>159</v>
      </c>
      <c r="T31" t="str">
        <f>"Case "&amp;LEFT(_xlfn.CONCAT(T18:T26),LEN(_xlfn.CONCAT(T18:T26))-1)</f>
        <v>Case "km/hr","m/hr","cm/hr","mm/hr","in/hr","ft/hr","yd/hr","mi/hr","mph"</v>
      </c>
      <c r="W31" t="s">
        <v>170</v>
      </c>
      <c r="AC31" t="s">
        <v>189</v>
      </c>
      <c r="AD31" t="str">
        <f>"Case "&amp;LEFT(_xlfn.CONCAT($AB$24:$AB$26),LEN(_xlfn.CONCAT($AB$24:$AB$26))-1)</f>
        <v>Case "R","Rank","Rankine"</v>
      </c>
      <c r="AE31" t="s">
        <v>180</v>
      </c>
    </row>
    <row r="32" spans="4:34" x14ac:dyDescent="0.25">
      <c r="W32" t="str">
        <f>$T7</f>
        <v>"ft/s",</v>
      </c>
      <c r="AD32" t="str">
        <f>$AD$13&amp;" = "&amp;""""&amp;AE31&amp;""""</f>
        <v>to_unit_unit = "Rank"</v>
      </c>
      <c r="AG32" t="s">
        <v>206</v>
      </c>
    </row>
    <row r="33" spans="22:33" x14ac:dyDescent="0.25">
      <c r="W33" t="str">
        <f>$T15</f>
        <v>"ft/min",</v>
      </c>
      <c r="AG33" t="str">
        <f>AH2</f>
        <v>"psia",</v>
      </c>
    </row>
    <row r="34" spans="22:33" x14ac:dyDescent="0.25">
      <c r="W34" t="str">
        <f>$T23</f>
        <v>"ft/hr",</v>
      </c>
      <c r="AG34" t="str">
        <f>AH4</f>
        <v>"psid",</v>
      </c>
    </row>
    <row r="35" spans="22:33" x14ac:dyDescent="0.25">
      <c r="V35" t="s">
        <v>171</v>
      </c>
      <c r="W35" t="str">
        <f>"Case "&amp;LEFT(_xlfn.CONCAT(W32:W34),LEN(_xlfn.CONCAT(W32:W34))-1)</f>
        <v>Case "ft/s","ft/min","ft/hr"</v>
      </c>
      <c r="AG35" t="str">
        <f>AH5</f>
        <v>"psi",</v>
      </c>
    </row>
    <row r="36" spans="22:33" x14ac:dyDescent="0.25">
      <c r="AG36" t="str">
        <f>AH7</f>
        <v>"lbf/in2",</v>
      </c>
    </row>
    <row r="37" spans="22:33" x14ac:dyDescent="0.25">
      <c r="AG37" t="str">
        <f>AH8</f>
        <v>"lb/in2",</v>
      </c>
    </row>
    <row r="38" spans="22:33" x14ac:dyDescent="0.25">
      <c r="W38" t="str">
        <f>$T8</f>
        <v>"yd/s",</v>
      </c>
      <c r="AG38" t="str">
        <f>"Case "&amp;LEFT(_xlfn.CONCAT(AG33:AG37),LEN(_xlfn.CONCAT(AG33:AG37))-1)</f>
        <v>Case "psia","psid","psi","lbf/in2","lb/in2"</v>
      </c>
    </row>
    <row r="39" spans="22:33" x14ac:dyDescent="0.25">
      <c r="W39" t="str">
        <f>$T16</f>
        <v>"yd/min",</v>
      </c>
    </row>
    <row r="40" spans="22:33" x14ac:dyDescent="0.25">
      <c r="W40" t="str">
        <f>$T24</f>
        <v>"yd/hr",</v>
      </c>
    </row>
    <row r="41" spans="22:33" x14ac:dyDescent="0.25">
      <c r="V41" t="s">
        <v>172</v>
      </c>
      <c r="W41" t="str">
        <f>"Case "&amp;LEFT(_xlfn.CONCAT(W38:W40),LEN(_xlfn.CONCAT(W38:W40))-1)</f>
        <v>Case "yd/s","yd/min","yd/hr"</v>
      </c>
    </row>
    <row r="43" spans="22:33" x14ac:dyDescent="0.25">
      <c r="W43" t="str">
        <f>$T9</f>
        <v>"mi/s",</v>
      </c>
    </row>
    <row r="44" spans="22:33" x14ac:dyDescent="0.25">
      <c r="W44" t="str">
        <f>$T17</f>
        <v>"mi/min",</v>
      </c>
    </row>
    <row r="45" spans="22:33" x14ac:dyDescent="0.25">
      <c r="W45" t="str">
        <f>$T25</f>
        <v>"mi/hr",</v>
      </c>
    </row>
    <row r="46" spans="22:33" x14ac:dyDescent="0.25">
      <c r="W46" t="str">
        <f>$T26</f>
        <v>"mph",</v>
      </c>
    </row>
    <row r="47" spans="22:33" x14ac:dyDescent="0.25">
      <c r="V47" t="s">
        <v>173</v>
      </c>
      <c r="W47" t="str">
        <f>"Case "&amp;LEFT(_xlfn.CONCAT(W43:W46),LEN(_xlfn.CONCAT(W43:W46))-1)</f>
        <v>Case "mi/s","mi/min","mi/hr","mph"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834FA-8531-45BD-A585-D4F48305A3EE}">
  <sheetPr codeName="Sheet3"/>
  <dimension ref="L11:O19"/>
  <sheetViews>
    <sheetView tabSelected="1" workbookViewId="0">
      <selection activeCell="N14" sqref="N14"/>
    </sheetView>
  </sheetViews>
  <sheetFormatPr defaultRowHeight="15" x14ac:dyDescent="0.25"/>
  <cols>
    <col min="14" max="14" width="31.5703125" bestFit="1" customWidth="1"/>
  </cols>
  <sheetData>
    <row r="11" spans="12:15" x14ac:dyDescent="0.25">
      <c r="N11" t="s">
        <v>210</v>
      </c>
      <c r="O11" t="s">
        <v>45</v>
      </c>
    </row>
    <row r="12" spans="12:15" x14ac:dyDescent="0.25">
      <c r="L12">
        <v>14.7</v>
      </c>
      <c r="M12" t="s">
        <v>95</v>
      </c>
      <c r="N12" s="2" cm="1">
        <f t="array" ref="N12">fluidConvert(L12,M12,O12)</f>
        <v>101352.93220957491</v>
      </c>
      <c r="O12" t="s">
        <v>3</v>
      </c>
    </row>
    <row r="13" spans="12:15" x14ac:dyDescent="0.25">
      <c r="L13">
        <v>70</v>
      </c>
      <c r="M13" t="s">
        <v>62</v>
      </c>
      <c r="N13" s="2" cm="1">
        <f t="array" ref="N13">fluidConvert(L13,M13,O13)</f>
        <v>294.26111111111106</v>
      </c>
      <c r="O13" t="s">
        <v>2</v>
      </c>
    </row>
    <row r="14" spans="12:15" x14ac:dyDescent="0.25">
      <c r="N14" cm="1">
        <f t="array" ref="N14">PropsSI("Z","P",N12,"T",N13,N11)</f>
        <v>7.4781933478467095E-4</v>
      </c>
    </row>
    <row r="16" spans="12:15" x14ac:dyDescent="0.25">
      <c r="N16" cm="1">
        <f t="array" ref="N16">fluidCompressibility(N12,N13,N11)</f>
        <v>7.4781933478467095E-4</v>
      </c>
    </row>
    <row r="18" spans="14:14" x14ac:dyDescent="0.25">
      <c r="N18" cm="1">
        <f t="array" ref="N18">Props1SI("M",N11)</f>
        <v>1.8015268000000001E-2</v>
      </c>
    </row>
    <row r="19" spans="14:14" x14ac:dyDescent="0.25">
      <c r="N19" cm="1">
        <f t="array" ref="N19">fluidMolecularWeight(N11)</f>
        <v>1.8015268000000001E-2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No-Dependencies</vt:lpstr>
      <vt:lpstr>Unit Lists</vt:lpstr>
      <vt:lpstr>Cool-Prop-Dependent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2023-05-28T03:17:38Z</dcterms:modified>
</cp:coreProperties>
</file>