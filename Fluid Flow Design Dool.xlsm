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5F9AA687-5A66-43C3-9CCA-5AD9CF3912A6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" l="1" a="1"/>
  <c r="C9" i="1" a="1"/>
  <c r="I10" i="1" a="1"/>
  <c r="Q11" i="1" a="1"/>
  <c r="Q10" i="1" a="1"/>
  <c r="I11" i="1" a="1"/>
  <c r="I17" i="1" a="1"/>
  <c r="I12" i="1" a="1"/>
  <c r="I18" i="1" a="1"/>
  <c r="I13" i="1" a="1"/>
  <c r="I14" i="1" a="1"/>
  <c r="I15" i="1" a="1"/>
  <c r="I16" i="1" a="1"/>
  <c r="M17" i="1" a="1"/>
  <c r="M15" i="1" a="1"/>
  <c r="M27" i="1" a="1"/>
  <c r="M16" i="1" a="1"/>
  <c r="C5" i="1" a="1"/>
  <c r="M20" i="1" a="1"/>
  <c r="M21" i="1" a="1"/>
  <c r="M11" i="1" a="1"/>
  <c r="M23" i="1" a="1"/>
  <c r="M18" i="1" a="1"/>
  <c r="M22" i="1" a="1"/>
  <c r="M12" i="1" a="1"/>
  <c r="M13" i="1" a="1"/>
  <c r="M10" i="1" a="1"/>
  <c r="C4" i="1" a="1"/>
  <c r="C3" i="1" a="1"/>
  <c r="M24" i="1" a="1"/>
  <c r="M19" i="1" a="1"/>
  <c r="M25" i="1" a="1"/>
  <c r="M14" i="1" a="1"/>
  <c r="M26" i="1" a="1"/>
  <c r="C6" i="1" a="1"/>
  <c r="Q17" i="1" a="1"/>
  <c r="Q14" i="1" a="1"/>
  <c r="Q15" i="1" a="1"/>
  <c r="Q16" i="1" a="1"/>
  <c r="Q12" i="1" a="1"/>
  <c r="Q13" i="1" a="1"/>
  <c r="H34" i="1" l="1"/>
  <c r="C9" i="1"/>
  <c r="I10" i="1"/>
  <c r="Q11" i="1"/>
  <c r="Q10" i="1"/>
  <c r="I16" i="1"/>
  <c r="I15" i="1"/>
  <c r="I14" i="1"/>
  <c r="I13" i="1"/>
  <c r="I18" i="1"/>
  <c r="I12" i="1"/>
  <c r="I17" i="1"/>
  <c r="I11" i="1"/>
  <c r="M17" i="1"/>
  <c r="Q13" i="1"/>
  <c r="Q12" i="1"/>
  <c r="Q16" i="1"/>
  <c r="Q15" i="1"/>
  <c r="Q14" i="1"/>
  <c r="Q17" i="1"/>
  <c r="M12" i="1"/>
  <c r="M22" i="1"/>
  <c r="M16" i="1"/>
  <c r="M27" i="1"/>
  <c r="M21" i="1"/>
  <c r="M15" i="1"/>
  <c r="M26" i="1"/>
  <c r="M20" i="1"/>
  <c r="M14" i="1"/>
  <c r="M25" i="1"/>
  <c r="M19" i="1"/>
  <c r="M13" i="1"/>
  <c r="M24" i="1"/>
  <c r="M18" i="1"/>
  <c r="M23" i="1"/>
  <c r="M11" i="1"/>
  <c r="M10" i="1"/>
  <c r="C3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<sst xmlns="http://schemas.openxmlformats.org/spreadsheetml/2006/main" count="55" uniqueCount="51">
  <si>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</si>
  <si>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</si>
  <si>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</si>
  <si>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</si>
  <si>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</si>
  <si>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</si>
  <si>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</si>
  <si>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</si>
  <si>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</si>
  <si>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</si>
  <si>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</si>
  <si>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</si>
  <si>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</si>
  <si>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</si>
  <si>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</si>
  <si>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</si>
  <si>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</si>
  <si>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</si>
  <si>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</si>
  <si>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</si>
  <si>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</si>
  <si>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</si>
  <si>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</si>
  <si>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</si>
  <si>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</si>
  <si>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</si>
  <si>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</si>
  <si>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</si>
  <si>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</si>
  <si>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</si>
  <si>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</si>
  <si>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</si>
  <si>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</si>
  <si>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</si>
  <si>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</si>
  <si>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</si>
  <si>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</si>
  <si>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</si>
  <si>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</si>
  <si>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</si>
  <si>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</si>
  <si>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</si>
  <si>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kg/m</t>
  </si>
  <si>
    <t>kg/hr</t>
  </si>
  <si>
    <t>g/s</t>
  </si>
  <si>
    <t>g/m</t>
  </si>
  <si>
    <t>g/hr</t>
  </si>
  <si>
    <t>lbm/s</t>
  </si>
  <si>
    <t>lbm/m</t>
  </si>
  <si>
    <t>lbm/hr</t>
  </si>
  <si>
    <t>Universal Gas Constant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</si>
</sst>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2:R34"/>
  <sheetViews>
    <sheetView tabSelected="1" workbookViewId="0">
      <selection activeCell="C9" sqref="C9"/>
    </sheetView>
  </sheetViews>
  <sheetFormatPr defaultRowHeight="15" x14ac:dyDescent="0.25"/>
  <cols>
    <col min="2" max="2" width="22.85546875" bestFit="1" customWidth="1"/>
    <col min="3" max="3" width="10.5703125" bestFit="1" customWidth="1"/>
    <col min="4" max="4" width="4.5703125" bestFit="1" customWidth="1"/>
    <col min="5" max="5" width="22.85546875" bestFit="1" customWidth="1"/>
    <col min="6" max="6" width="10.5703125" bestFit="1" customWidth="1"/>
    <col min="7" max="7" width="11.7109375" bestFit="1" customWidth="1"/>
    <col min="8" max="8" width="22.85546875" customWidth="1"/>
    <col min="11" max="11" width="11.7109375" bestFit="1" customWidth="1"/>
    <col min="12" max="12" width="15" customWidth="1"/>
    <col min="16" max="16" width="11.7109375" bestFit="1" customWidth="1"/>
  </cols>
  <sheetData>
    <row r="2" spans="2:18" x14ac:dyDescent="0.25">
      <c r="B2" t="s">
        <v>0</v>
      </c>
      <c r="C2" t="s">
        <v>1</v>
      </c>
    </row>
    <row r="3" spans="2:18" x14ac:dyDescent="0.25">
      <c r="B3" t="s">
        <v>4</v>
      </c>
      <c r="C3" cm="1">
        <f t="array" ref="C3">fluidStandardConditions(C2,"T")</f>
        <v>273.14999999999998</v>
      </c>
      <c r="D3" t="s">
        <v>2</v>
      </c>
    </row>
    <row r="4" spans="2:18" x14ac:dyDescent="0.25">
      <c r="B4" t="s">
        <v>5</v>
      </c>
      <c r="C4" cm="1">
        <f t="array" ref="C4">fluidStandardConditions(C2,"P")</f>
        <v>100000</v>
      </c>
      <c r="D4" t="s">
        <v>3</v>
      </c>
    </row>
    <row r="5" spans="2:18" x14ac:dyDescent="0.25">
      <c r="B5" t="s">
        <v>6</v>
      </c>
      <c r="C5" cm="1">
        <f t="array" ref="C5">fluidStandardConditions(C2,"T",FALSE)</f>
        <v>491.66999999999996</v>
      </c>
      <c r="D5" t="s">
        <v>8</v>
      </c>
    </row>
    <row r="6" spans="2:18" x14ac:dyDescent="0.25">
      <c r="B6" t="s">
        <v>7</v>
      </c>
      <c r="C6" cm="1">
        <f t="array" ref="C6">fluidStandardConditions(C2,"P",FALSE)</f>
        <v>14.5038</v>
      </c>
      <c r="D6" t="s">
        <v>9</v>
      </c>
    </row>
    <row r="8" spans="2:18" x14ac:dyDescent="0.25">
      <c r="I8" t="s">
        <v>40</v>
      </c>
      <c r="M8" t="s">
        <v>38</v>
      </c>
      <c r="Q8" t="s">
        <v>39</v>
      </c>
    </row>
    <row r="9" spans="2:18" x14ac:dyDescent="0.25">
      <c r="B9" t="s">
        <v>50</v>
      </c>
      <c r="C9" cm="1">
        <f t="array" ref="C9">fluidUniversalGasConstant()</f>
        <v>8.3144597999999998</v>
      </c>
      <c r="H9" t="s">
        <v>28</v>
      </c>
      <c r="I9">
        <v>1</v>
      </c>
      <c r="J9" t="s">
        <v>41</v>
      </c>
      <c r="L9" t="s">
        <v>28</v>
      </c>
      <c r="M9">
        <v>1</v>
      </c>
      <c r="N9" t="s">
        <v>29</v>
      </c>
      <c r="P9" t="s">
        <v>28</v>
      </c>
      <c r="Q9">
        <v>1</v>
      </c>
      <c r="R9" t="s">
        <v>30</v>
      </c>
    </row>
    <row r="10" spans="2:18" x14ac:dyDescent="0.25">
      <c r="I10" cm="1">
        <f t="array" ref="I10">fluidMassFlowConvert($I$9,$J$9,J10)</f>
        <v>1</v>
      </c>
      <c r="J10" t="s">
        <v>41</v>
      </c>
      <c r="M10" cm="1">
        <f t="array" ref="M10">fluidVolumeFlowConvert($M$9,$N$9,N10)</f>
        <v>9.9999999999999995E-7</v>
      </c>
      <c r="N10" t="s">
        <v>10</v>
      </c>
      <c r="Q10" cm="1">
        <f t="array" ref="Q10">fluidDensityConvert(Q$9,$R$9,R10)</f>
        <v>1</v>
      </c>
      <c r="R10" t="s">
        <v>30</v>
      </c>
    </row>
    <row r="11" spans="2:18" x14ac:dyDescent="0.25">
      <c r="I11" cm="1">
        <f t="array" ref="I11">fluidMassFlowConvert($I$9,$J$9,J11)</f>
        <v>60</v>
      </c>
      <c r="J11" t="s">
        <v>42</v>
      </c>
      <c r="M11" cm="1">
        <f t="array" ref="M11">fluidVolumeFlowConvert($M$9,$N$9,N11)</f>
        <v>5.9999999999999995E-5</v>
      </c>
      <c r="N11" t="s">
        <v>11</v>
      </c>
      <c r="Q11" cm="1">
        <f t="array" ref="Q11">fluidDensityConvert(Q$9,$R$9,R11)</f>
        <v>9.9999999999999995E-7</v>
      </c>
      <c r="R11" t="s">
        <v>31</v>
      </c>
    </row>
    <row r="12" spans="2:18" x14ac:dyDescent="0.25">
      <c r="I12" cm="1">
        <f t="array" ref="I12">fluidMassFlowConvert($I$9,$J$9,J12)</f>
        <v>3600</v>
      </c>
      <c r="J12" t="s">
        <v>43</v>
      </c>
      <c r="M12" cm="1">
        <f t="array" ref="M12">fluidVolumeFlowConvert($M$9,$N$9,N12)</f>
        <v>3.5999999999999999E-3</v>
      </c>
      <c r="N12" t="s">
        <v>12</v>
      </c>
      <c r="Q12" cm="1">
        <f t="array" ref="Q12">fluidDensityConvert(Q$9,$R$9,R12)</f>
        <v>1E-3</v>
      </c>
      <c r="R12" t="s">
        <v>32</v>
      </c>
    </row>
    <row r="13" spans="2:18" x14ac:dyDescent="0.25">
      <c r="I13" cm="1">
        <f t="array" ref="I13">fluidMassFlowConvert($I$9,$J$9,J13)</f>
        <v>1000</v>
      </c>
      <c r="J13" t="s">
        <v>44</v>
      </c>
      <c r="M13" cm="1">
        <f t="array" ref="M13">fluidVolumeFlowConvert($M$9,$N$9,N13)</f>
        <v>1</v>
      </c>
      <c r="N13" t="s">
        <v>13</v>
      </c>
      <c r="Q13" cm="1">
        <f t="array" ref="Q13">fluidDensityConvert(Q$9,$R$9,R13)</f>
        <v>1000</v>
      </c>
      <c r="R13" t="s">
        <v>33</v>
      </c>
    </row>
    <row r="14" spans="2:18" x14ac:dyDescent="0.25">
      <c r="I14" cm="1">
        <f t="array" ref="I14">fluidMassFlowConvert($I$9,$J$9,J14)</f>
        <v>60000</v>
      </c>
      <c r="J14" t="s">
        <v>45</v>
      </c>
      <c r="M14" cm="1">
        <f t="array" ref="M14">fluidVolumeFlowConvert($M$9,$N$9,N14)</f>
        <v>60</v>
      </c>
      <c r="N14" t="s">
        <v>14</v>
      </c>
      <c r="Q14" cm="1">
        <f t="array" ref="Q14">fluidDensityConvert(Q$9,$R$9,R14)</f>
        <v>1</v>
      </c>
      <c r="R14" t="s">
        <v>34</v>
      </c>
    </row>
    <row r="15" spans="2:18" x14ac:dyDescent="0.25">
      <c r="I15" cm="1">
        <f t="array" ref="I15">fluidMassFlowConvert($I$9,$J$9,J15)</f>
        <v>3600000</v>
      </c>
      <c r="J15" t="s">
        <v>46</v>
      </c>
      <c r="M15" cm="1">
        <f t="array" ref="M15">fluidVolumeFlowConvert($M$9,$N$9,N15)</f>
        <v>3600</v>
      </c>
      <c r="N15" t="s">
        <v>15</v>
      </c>
      <c r="Q15" cm="1">
        <f t="array" ref="Q15">fluidDensityConvert(Q$9,$R$9,R15)</f>
        <v>3.6127298147753422E-5</v>
      </c>
      <c r="R15" t="s">
        <v>35</v>
      </c>
    </row>
    <row r="16" spans="2:18" x14ac:dyDescent="0.25">
      <c r="I16" cm="1">
        <f t="array" ref="I16">fluidMassFlowConvert($I$9,$J$9,J16)</f>
        <v>2.2046244201837775</v>
      </c>
      <c r="J16" t="s">
        <v>47</v>
      </c>
      <c r="M16" cm="1">
        <f t="array" ref="M16">fluidVolumeFlowConvert($M$9,$N$9,N16)</f>
        <v>1E-3</v>
      </c>
      <c r="N16" t="s">
        <v>16</v>
      </c>
      <c r="Q16" cm="1">
        <f t="array" ref="Q16">fluidDensityConvert(Q$9,$R$9,R16)</f>
        <v>6.2429766512673242E-2</v>
      </c>
      <c r="R16" t="s">
        <v>36</v>
      </c>
    </row>
    <row r="17" spans="9:18" x14ac:dyDescent="0.25">
      <c r="I17" cm="1">
        <f t="array" ref="I17">fluidMassFlowConvert($I$9,$J$9,J17)</f>
        <v>132.27746521102665</v>
      </c>
      <c r="J17" t="s">
        <v>48</v>
      </c>
      <c r="M17" cm="1">
        <f t="array" ref="M17">fluidVolumeFlowConvert($M$9,$N$9,N17)</f>
        <v>0.06</v>
      </c>
      <c r="N17" t="s">
        <v>17</v>
      </c>
      <c r="Q17" cm="1">
        <f t="array" ref="Q17">fluidDensityConvert(Q$9,$R$9,R17)</f>
        <v>8.3454342129421002E-3</v>
      </c>
      <c r="R17" t="s">
        <v>37</v>
      </c>
    </row>
    <row r="18" spans="9:18" x14ac:dyDescent="0.25">
      <c r="I18" cm="1">
        <f t="array" ref="I18">fluidMassFlowConvert($I$9,$J$9,J18)</f>
        <v>7936.6479126615986</v>
      </c>
      <c r="J18" t="s">
        <v>49</v>
      </c>
      <c r="M18" cm="1">
        <f t="array" ref="M18">fluidVolumeFlowConvert($M$9,$N$9,N18)</f>
        <v>3.5999999999999996</v>
      </c>
      <c r="N18" t="s">
        <v>18</v>
      </c>
    </row>
    <row r="19" spans="9:18" x14ac:dyDescent="0.25">
      <c r="M19" cm="1">
        <f t="array" ref="M19">fluidVolumeFlowConvert($M$9,$N$9,N19)</f>
        <v>6.1023982425093055E-2</v>
      </c>
      <c r="N19" t="s">
        <v>19</v>
      </c>
    </row>
    <row r="20" spans="9:18" x14ac:dyDescent="0.25">
      <c r="M20" cm="1">
        <f t="array" ref="M20">fluidVolumeFlowConvert($M$9,$N$9,N20)</f>
        <v>3.6614389455055831</v>
      </c>
      <c r="N20" t="s">
        <v>20</v>
      </c>
    </row>
    <row r="21" spans="9:18" x14ac:dyDescent="0.25">
      <c r="M21" cm="1">
        <f t="array" ref="M21">fluidVolumeFlowConvert($M$9,$N$9,N21)</f>
        <v>219.686336730335</v>
      </c>
      <c r="N21" t="s">
        <v>21</v>
      </c>
    </row>
    <row r="22" spans="9:18" x14ac:dyDescent="0.25">
      <c r="M22" cm="1">
        <f t="array" ref="M22">fluidVolumeFlowConvert($M$9,$N$9,N22)</f>
        <v>3.5314724827664145E-5</v>
      </c>
      <c r="N22" t="s">
        <v>22</v>
      </c>
    </row>
    <row r="23" spans="9:18" x14ac:dyDescent="0.25">
      <c r="M23" cm="1">
        <f t="array" ref="M23">fluidVolumeFlowConvert($M$9,$N$9,N23)</f>
        <v>2.1188834896598485E-3</v>
      </c>
      <c r="N23" t="s">
        <v>23</v>
      </c>
    </row>
    <row r="24" spans="9:18" x14ac:dyDescent="0.25">
      <c r="M24" cm="1">
        <f t="array" ref="M24">fluidVolumeFlowConvert($M$9,$N$9,N24)</f>
        <v>0.12713300937959091</v>
      </c>
      <c r="N24" t="s">
        <v>24</v>
      </c>
    </row>
    <row r="25" spans="9:18" x14ac:dyDescent="0.25">
      <c r="M25" cm="1">
        <f t="array" ref="M25">fluidVolumeFlowConvert($M$9,$N$9,N25)</f>
        <v>2.6417200000000002E-4</v>
      </c>
      <c r="N25" t="s">
        <v>25</v>
      </c>
    </row>
    <row r="26" spans="9:18" x14ac:dyDescent="0.25">
      <c r="M26" cm="1">
        <f t="array" ref="M26">fluidVolumeFlowConvert($M$9,$N$9,N26)</f>
        <v>1.5850320000000001E-2</v>
      </c>
      <c r="N26" t="s">
        <v>26</v>
      </c>
    </row>
    <row r="27" spans="9:18" x14ac:dyDescent="0.25">
      <c r="M27" cm="1">
        <f t="array" ref="M27">fluidVolumeFlowConvert($M$9,$N$9,N27)</f>
        <v>0.95101920000000006</v>
      </c>
      <c r="N27" t="s">
        <v>27</v>
      </c>
    </row>
    <row r="34" spans="8:8" x14ac:dyDescent="0.25">
      <c r="H34" t="e" cm="1">
        <f t="array" ref="H34">fluidMassFlowToStandardFlow(Q9,J10,J11)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2023-04-28T03:00:51Z</dcterms:modified>
</cp:coreProperties>
</file>