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25466D47-A156-40E1-92B8-A674813678A4}" xr6:coauthVersionLast="47" xr6:coauthVersionMax="47" xr10:uidLastSave="{00000000-0000-0000-0000-000000000000}"/>
  <bookViews>
    <workbookView xWindow="-120" yWindow="-120" windowWidth="38640" windowHeight="21240" xr2:uid="{1C68F3C9-BACF-4AE3-9327-A04E9D6F2DE9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" i="1" l="1" a="1"/>
  <c r="S6" i="1" l="1"/>
  <c r="U6" i="1" a="1"/>
  <c r="S5" i="1" a="1"/>
  <c r="S8" i="1" a="1"/>
  <c r="S7" i="1" a="1"/>
  <c r="U6" i="1" l="1"/>
  <c r="S5" i="1"/>
  <c r="S8" i="1"/>
  <c r="S7" i="1"/>
  <c r="K1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2" i="2"/>
  <c r="H11" i="2"/>
  <c r="H3" i="2"/>
  <c r="H4" i="2"/>
  <c r="H5" i="2"/>
  <c r="H6" i="2"/>
  <c r="H7" i="2"/>
  <c r="H8" i="2"/>
  <c r="H9" i="2"/>
  <c r="H10" i="2"/>
  <c r="H2" i="2"/>
  <c r="E21" i="2"/>
  <c r="B1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B3" i="2"/>
  <c r="B4" i="2"/>
  <c r="B5" i="2"/>
  <c r="B6" i="2"/>
  <c r="B7" i="2"/>
  <c r="B8" i="2"/>
  <c r="B9" i="2"/>
  <c r="B10" i="2"/>
  <c r="B11" i="2"/>
  <c r="B2" i="2"/>
  <c r="AE3" i="1"/>
  <c r="AE4" i="1"/>
  <c r="U5" i="1" a="1"/>
  <c r="U7" i="1" a="1"/>
  <c r="U8" i="1" a="1"/>
  <c r="AL55" i="1" a="1"/>
  <c r="AL3" i="1" a="1"/>
  <c r="AL9" i="1" a="1"/>
  <c r="AL15" i="1" a="1"/>
  <c r="AL21" i="1" a="1"/>
  <c r="AL27" i="1" a="1"/>
  <c r="AL33" i="1" a="1"/>
  <c r="AL39" i="1" a="1"/>
  <c r="AL45" i="1" a="1"/>
  <c r="AL51" i="1" a="1"/>
  <c r="AL40" i="1" a="1"/>
  <c r="AL52" i="1" a="1"/>
  <c r="AL17" i="1" a="1"/>
  <c r="AL29" i="1" a="1"/>
  <c r="AL36" i="1" a="1"/>
  <c r="AL31" i="1" a="1"/>
  <c r="AL8" i="1" a="1"/>
  <c r="AL4" i="1" a="1"/>
  <c r="AL10" i="1" a="1"/>
  <c r="AL16" i="1" a="1"/>
  <c r="AL22" i="1" a="1"/>
  <c r="AL34" i="1" a="1"/>
  <c r="AL46" i="1" a="1"/>
  <c r="AL23" i="1" a="1"/>
  <c r="AL41" i="1" a="1"/>
  <c r="AL53" i="1" a="1"/>
  <c r="AL54" i="1" a="1"/>
  <c r="AL13" i="1" a="1"/>
  <c r="AL38" i="1" a="1"/>
  <c r="AL28" i="1" a="1"/>
  <c r="AL32" i="1" a="1"/>
  <c r="AL11" i="1" a="1"/>
  <c r="AL47" i="1" a="1"/>
  <c r="AL48" i="1" a="1"/>
  <c r="AL7" i="1" a="1"/>
  <c r="AL37" i="1" a="1"/>
  <c r="AL26" i="1" a="1"/>
  <c r="AL5" i="1" a="1"/>
  <c r="AL35" i="1" a="1"/>
  <c r="AL19" i="1" a="1"/>
  <c r="AL49" i="1" a="1"/>
  <c r="AL20" i="1" a="1"/>
  <c r="AL6" i="1" a="1"/>
  <c r="AL12" i="1" a="1"/>
  <c r="AL18" i="1" a="1"/>
  <c r="AL24" i="1" a="1"/>
  <c r="AL30" i="1" a="1"/>
  <c r="AL25" i="1" a="1"/>
  <c r="AL14" i="1" a="1"/>
  <c r="AL42" i="1" a="1"/>
  <c r="AL43" i="1" a="1"/>
  <c r="AL44" i="1" a="1"/>
  <c r="AL50" i="1" a="1"/>
  <c r="AL2" i="1" a="1"/>
  <c r="AE1" i="1" a="1"/>
  <c r="K14" i="1" a="1"/>
  <c r="K4" i="1" a="1"/>
  <c r="K19" i="1" a="1"/>
  <c r="Y8" i="1" a="1"/>
  <c r="S19" i="1" a="1"/>
  <c r="Y9" i="1" a="1"/>
  <c r="O6" i="1" a="1"/>
  <c r="S13" i="1" a="1"/>
  <c r="AE2" i="1" a="1"/>
  <c r="K16" i="1" a="1"/>
  <c r="G6" i="1" a="1"/>
  <c r="G11" i="1" a="1"/>
  <c r="C6" i="1" a="1"/>
  <c r="O8" i="1" a="1"/>
  <c r="G9" i="1" a="1"/>
  <c r="K11" i="1" a="1"/>
  <c r="C3" i="1" a="1"/>
  <c r="S10" i="1" a="1"/>
  <c r="G8" i="1" a="1"/>
  <c r="K6" i="1" a="1"/>
  <c r="C9" i="1" a="1"/>
  <c r="O3" i="1" a="1"/>
  <c r="K5" i="1" a="1"/>
  <c r="K10" i="1" a="1"/>
  <c r="K3" i="1" a="1"/>
  <c r="K13" i="1" a="1"/>
  <c r="S14" i="1" a="1"/>
  <c r="G3" i="1" a="1"/>
  <c r="K8" i="1" a="1"/>
  <c r="O10" i="1" a="1"/>
  <c r="S12" i="1" a="1"/>
  <c r="S9" i="1" a="1"/>
  <c r="Y7" i="1" a="1"/>
  <c r="K9" i="1" a="1"/>
  <c r="S17" i="1" a="1"/>
  <c r="G5" i="1" a="1"/>
  <c r="G7" i="1" a="1"/>
  <c r="K17" i="1" a="1"/>
  <c r="O4" i="1" a="1"/>
  <c r="Y6" i="1" a="1"/>
  <c r="S18" i="1" a="1"/>
  <c r="K12" i="1" a="1"/>
  <c r="S16" i="1" a="1"/>
  <c r="K7" i="1" a="1"/>
  <c r="S15" i="1" a="1"/>
  <c r="S11" i="1" a="1"/>
  <c r="K15" i="1" a="1"/>
  <c r="K20" i="1" a="1"/>
  <c r="G10" i="1" a="1"/>
  <c r="O7" i="1" a="1"/>
  <c r="O5" i="1" a="1"/>
  <c r="O9" i="1" a="1"/>
  <c r="K18" i="1" a="1"/>
  <c r="G4" i="1" a="1"/>
  <c r="Y10" i="1" a="1"/>
  <c r="Y11" i="1" a="1"/>
  <c r="C4" i="1" a="1"/>
  <c r="C5" i="1" a="1"/>
  <c r="U8" i="1" l="1"/>
  <c r="U7" i="1"/>
  <c r="U5" i="1"/>
  <c r="AL55" i="1"/>
  <c r="AL50" i="1"/>
  <c r="AL44" i="1"/>
  <c r="AL43" i="1"/>
  <c r="AL42" i="1"/>
  <c r="AL14" i="1"/>
  <c r="AL25" i="1"/>
  <c r="AL30" i="1"/>
  <c r="AL24" i="1"/>
  <c r="AL18" i="1"/>
  <c r="AL12" i="1"/>
  <c r="AL6" i="1"/>
  <c r="AL20" i="1"/>
  <c r="AL49" i="1"/>
  <c r="AL19" i="1"/>
  <c r="AL35" i="1"/>
  <c r="AL5" i="1"/>
  <c r="AL26" i="1"/>
  <c r="AL37" i="1"/>
  <c r="AL7" i="1"/>
  <c r="AL48" i="1"/>
  <c r="AL47" i="1"/>
  <c r="AL11" i="1"/>
  <c r="AL32" i="1"/>
  <c r="AL28" i="1"/>
  <c r="AL38" i="1"/>
  <c r="AL13" i="1"/>
  <c r="AL54" i="1"/>
  <c r="AL53" i="1"/>
  <c r="AL41" i="1"/>
  <c r="AL23" i="1"/>
  <c r="AL46" i="1"/>
  <c r="AL34" i="1"/>
  <c r="AL22" i="1"/>
  <c r="AL16" i="1"/>
  <c r="AL10" i="1"/>
  <c r="AL4" i="1"/>
  <c r="AL8" i="1"/>
  <c r="AL31" i="1"/>
  <c r="AL36" i="1"/>
  <c r="AL29" i="1"/>
  <c r="AL17" i="1"/>
  <c r="AL52" i="1"/>
  <c r="AL40" i="1"/>
  <c r="AL51" i="1"/>
  <c r="AL45" i="1"/>
  <c r="AL39" i="1"/>
  <c r="AL33" i="1"/>
  <c r="AL27" i="1"/>
  <c r="AL21" i="1"/>
  <c r="AL15" i="1"/>
  <c r="AL9" i="1"/>
  <c r="AL3" i="1"/>
  <c r="AL2" i="1"/>
  <c r="AE2" i="1"/>
  <c r="AG2" i="1" s="1"/>
  <c r="AE1" i="1"/>
  <c r="AE5" i="1"/>
  <c r="AE6" i="1" s="1"/>
  <c r="Y6" i="1"/>
  <c r="AB6" i="1" s="1"/>
  <c r="Y9" i="1"/>
  <c r="AB9" i="1" s="1"/>
  <c r="Y8" i="1"/>
  <c r="AB8" i="1" s="1"/>
  <c r="Y11" i="1"/>
  <c r="AB11" i="1" s="1"/>
  <c r="Y10" i="1"/>
  <c r="AB10" i="1" s="1"/>
  <c r="Y7" i="1"/>
  <c r="AB7" i="1" s="1"/>
  <c r="S9" i="1"/>
  <c r="S14" i="1"/>
  <c r="S13" i="1"/>
  <c r="S11" i="1"/>
  <c r="S10" i="1"/>
  <c r="S15" i="1"/>
  <c r="S19" i="1"/>
  <c r="S17" i="1"/>
  <c r="S16" i="1"/>
  <c r="S18" i="1"/>
  <c r="S12" i="1"/>
  <c r="C9" i="1"/>
  <c r="G3" i="1"/>
  <c r="O4" i="1"/>
  <c r="O3" i="1"/>
  <c r="G9" i="1"/>
  <c r="G8" i="1"/>
  <c r="G7" i="1"/>
  <c r="G6" i="1"/>
  <c r="G11" i="1"/>
  <c r="G5" i="1"/>
  <c r="G10" i="1"/>
  <c r="G4" i="1"/>
  <c r="K10" i="1"/>
  <c r="O6" i="1"/>
  <c r="O5" i="1"/>
  <c r="O9" i="1"/>
  <c r="O8" i="1"/>
  <c r="O7" i="1"/>
  <c r="O10" i="1"/>
  <c r="K5" i="1"/>
  <c r="K15" i="1"/>
  <c r="K9" i="1"/>
  <c r="K20" i="1"/>
  <c r="K14" i="1"/>
  <c r="K8" i="1"/>
  <c r="K19" i="1"/>
  <c r="K13" i="1"/>
  <c r="K7" i="1"/>
  <c r="K18" i="1"/>
  <c r="K12" i="1"/>
  <c r="K6" i="1"/>
  <c r="K17" i="1"/>
  <c r="K11" i="1"/>
  <c r="K16" i="1"/>
  <c r="K4" i="1"/>
  <c r="K3" i="1"/>
  <c r="C3" i="1"/>
  <c r="C6" i="1"/>
  <c r="C5" i="1"/>
  <c r="C4" i="1"/>
  <c r="U19" i="1" a="1"/>
  <c r="U17" i="1" a="1"/>
  <c r="U16" i="1" a="1"/>
  <c r="U18" i="1" a="1"/>
  <c r="U12" i="1" a="1"/>
  <c r="U9" i="1" a="1"/>
  <c r="U14" i="1" a="1"/>
  <c r="U13" i="1" a="1"/>
  <c r="U11" i="1" a="1"/>
  <c r="U10" i="1" a="1"/>
  <c r="U15" i="1" a="1"/>
  <c r="AE7" i="1" a="1"/>
  <c r="U15" i="1" l="1"/>
  <c r="U10" i="1"/>
  <c r="U11" i="1"/>
  <c r="U13" i="1"/>
  <c r="U14" i="1"/>
  <c r="U9" i="1"/>
  <c r="U12" i="1"/>
  <c r="U18" i="1"/>
  <c r="U16" i="1"/>
  <c r="U17" i="1"/>
  <c r="U19" i="1"/>
  <c r="AE7" i="1"/>
  <c r="AH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<sst xmlns="http://schemas.openxmlformats.org/spreadsheetml/2006/main" count="246" uniqueCount="96">
  <si>
    <t>Standard</t>
  </si>
  <si>
    <t>IUPAC_STP</t>
  </si>
  <si>
    <t>K</t>
  </si>
  <si>
    <t>Pa</t>
  </si>
  <si>
    <t>Metric Temperature</t>
  </si>
  <si>
    <t>Metric Pressure</t>
  </si>
  <si>
    <t>Customary Temperature</t>
  </si>
  <si>
    <t>Customary Pressure</t>
  </si>
  <si>
    <t>R</t>
  </si>
  <si>
    <t>psia</t>
  </si>
  <si>
    <t>m3/s</t>
  </si>
  <si>
    <t>m3/m</t>
  </si>
  <si>
    <t>m3/hr</t>
  </si>
  <si>
    <t>cm3/s</t>
  </si>
  <si>
    <t>cm3/m</t>
  </si>
  <si>
    <t>cm3/hr</t>
  </si>
  <si>
    <t>L/s</t>
  </si>
  <si>
    <t>L/m</t>
  </si>
  <si>
    <t>L/hr</t>
  </si>
  <si>
    <t>in3/s</t>
  </si>
  <si>
    <t>in3/m</t>
  </si>
  <si>
    <t>in3/hr</t>
  </si>
  <si>
    <t>ft3/s</t>
  </si>
  <si>
    <t>ft3/m</t>
  </si>
  <si>
    <t>ft3/hr</t>
  </si>
  <si>
    <t>gal/s</t>
  </si>
  <si>
    <t>gal/m</t>
  </si>
  <si>
    <t>gal/hr</t>
  </si>
  <si>
    <t>Initial Value</t>
  </si>
  <si>
    <t>ccs</t>
  </si>
  <si>
    <t>kg/m3</t>
  </si>
  <si>
    <t>kg/cm3</t>
  </si>
  <si>
    <t>kg/L</t>
  </si>
  <si>
    <t>g/m3</t>
  </si>
  <si>
    <t>g/L</t>
  </si>
  <si>
    <t>lbm/in3</t>
  </si>
  <si>
    <t>lbm/ft3</t>
  </si>
  <si>
    <t>lbm/gal</t>
  </si>
  <si>
    <t>Volume Flow Check</t>
  </si>
  <si>
    <t>Density Check</t>
  </si>
  <si>
    <t>Mass Flow Check</t>
  </si>
  <si>
    <t>kg/s</t>
  </si>
  <si>
    <t>kg/m</t>
  </si>
  <si>
    <t>kg/hr</t>
  </si>
  <si>
    <t>g/s</t>
  </si>
  <si>
    <t>g/m</t>
  </si>
  <si>
    <t>g/hr</t>
  </si>
  <si>
    <t>lbm/s</t>
  </si>
  <si>
    <t>lbm/m</t>
  </si>
  <si>
    <t>lbm/hr</t>
  </si>
  <si>
    <t>Universal Gas Constant</t>
  </si>
  <si>
    <t>Standard Flow Check</t>
  </si>
  <si>
    <t>Gas</t>
  </si>
  <si>
    <t>O2</t>
  </si>
  <si>
    <t>string</t>
  </si>
  <si>
    <t>scms</t>
  </si>
  <si>
    <t>scmm</t>
  </si>
  <si>
    <t>scmh</t>
  </si>
  <si>
    <t>slps</t>
  </si>
  <si>
    <t>slpm</t>
  </si>
  <si>
    <t>slph</t>
  </si>
  <si>
    <t>sccs</t>
  </si>
  <si>
    <t>sccm</t>
  </si>
  <si>
    <t>scch</t>
  </si>
  <si>
    <t>scfs</t>
  </si>
  <si>
    <t>scfm</t>
  </si>
  <si>
    <t>scfh</t>
  </si>
  <si>
    <t>scis</t>
  </si>
  <si>
    <t>scim</t>
  </si>
  <si>
    <t>scih</t>
  </si>
  <si>
    <t>NTP</t>
  </si>
  <si>
    <t>He</t>
  </si>
  <si>
    <t>F</t>
  </si>
  <si>
    <t>Mass Flow</t>
  </si>
  <si>
    <t>Specific Gas Constant</t>
  </si>
  <si>
    <t>J/kg*K</t>
  </si>
  <si>
    <t>Standard Temp</t>
  </si>
  <si>
    <t>Standard Pressure</t>
  </si>
  <si>
    <t>Standard Density</t>
  </si>
  <si>
    <t>Standard Flow Rate</t>
  </si>
  <si>
    <t>kPa</t>
  </si>
  <si>
    <t>ISO 2314 and ISO 3977-2 had -.03383 error - 59 F, 101.33 kPa</t>
  </si>
  <si>
    <t>ISO 2533, ISO13443, ISO7504 has .002626 error, 59 F, 101.325 kPa</t>
  </si>
  <si>
    <t>ISO 2533</t>
  </si>
  <si>
    <t>Valcor Answer</t>
  </si>
  <si>
    <t>Error</t>
  </si>
  <si>
    <t>Calculated</t>
  </si>
  <si>
    <t>Unit</t>
  </si>
  <si>
    <t>Standard Flow Check - Valcor (No Compressibility)</t>
  </si>
  <si>
    <t>Mass Flow Units</t>
  </si>
  <si>
    <t>Volume Flow Units</t>
  </si>
  <si>
    <t>Density Units</t>
  </si>
  <si>
    <t>Standard Volume Flow Units</t>
  </si>
  <si>
    <t>VBA Case</t>
  </si>
  <si>
    <t>Unit Type Check</t>
  </si>
  <si>
    <t>floogle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</si>
</sst>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7CA-E52B-4676-9B84-82CDBCCDCCA7}">
  <sheetPr codeName="Sheet1"/>
  <dimension ref="B1:AL55"/>
  <sheetViews>
    <sheetView tabSelected="1" topLeftCell="D1" zoomScale="85" zoomScaleNormal="85" workbookViewId="0">
      <selection activeCell="Y15" sqref="Y15"/>
    </sheetView>
  </sheetViews>
  <sheetFormatPr defaultRowHeight="15" x14ac:dyDescent="0.25"/>
  <cols>
    <col min="2" max="2" width="23.28515625" bestFit="1" customWidth="1"/>
    <col min="3" max="3" width="10.5703125" bestFit="1" customWidth="1"/>
    <col min="4" max="4" width="5.140625" bestFit="1" customWidth="1"/>
    <col min="5" max="5" width="1.7109375" customWidth="1"/>
    <col min="6" max="6" width="12.7109375" bestFit="1" customWidth="1"/>
    <col min="7" max="7" width="16.7109375" bestFit="1" customWidth="1"/>
    <col min="8" max="8" width="7.42578125" bestFit="1" customWidth="1"/>
    <col min="9" max="9" width="1.7109375" customWidth="1"/>
    <col min="10" max="10" width="12.7109375" bestFit="1" customWidth="1"/>
    <col min="11" max="11" width="19.140625" bestFit="1" customWidth="1"/>
    <col min="12" max="12" width="7.42578125" bestFit="1" customWidth="1"/>
    <col min="13" max="13" width="1.7109375" customWidth="1"/>
    <col min="14" max="14" width="12.7109375" bestFit="1" customWidth="1"/>
    <col min="15" max="15" width="13.85546875" bestFit="1" customWidth="1"/>
    <col min="16" max="16" width="8.42578125" customWidth="1"/>
    <col min="17" max="17" width="1.7109375" customWidth="1"/>
    <col min="18" max="18" width="12.7109375" bestFit="1" customWidth="1"/>
    <col min="19" max="19" width="20.28515625" bestFit="1" customWidth="1"/>
    <col min="20" max="20" width="6.42578125" bestFit="1" customWidth="1"/>
    <col min="21" max="22" width="6.42578125" customWidth="1"/>
    <col min="23" max="23" width="1.7109375" customWidth="1"/>
    <col min="24" max="24" width="12.7109375" bestFit="1" customWidth="1"/>
    <col min="25" max="25" width="48" bestFit="1" customWidth="1"/>
    <col min="26" max="26" width="6.42578125" bestFit="1" customWidth="1"/>
    <col min="27" max="27" width="14.28515625" bestFit="1" customWidth="1"/>
    <col min="28" max="28" width="12.28515625" bestFit="1" customWidth="1"/>
    <col min="29" max="29" width="1.7109375" customWidth="1"/>
    <col min="30" max="30" width="21.140625" bestFit="1" customWidth="1"/>
    <col min="31" max="31" width="12.28515625" bestFit="1" customWidth="1"/>
    <col min="32" max="32" width="6.7109375" bestFit="1" customWidth="1"/>
    <col min="33" max="34" width="12.28515625" bestFit="1" customWidth="1"/>
    <col min="35" max="35" width="59.28515625" bestFit="1" customWidth="1"/>
    <col min="38" max="38" width="22.28515625" bestFit="1" customWidth="1"/>
  </cols>
  <sheetData>
    <row r="1" spans="2:38" x14ac:dyDescent="0.25">
      <c r="G1" t="s">
        <v>40</v>
      </c>
      <c r="K1" t="s">
        <v>38</v>
      </c>
      <c r="O1" t="s">
        <v>39</v>
      </c>
      <c r="S1" t="s">
        <v>51</v>
      </c>
      <c r="Y1" t="s">
        <v>88</v>
      </c>
      <c r="AD1" t="s">
        <v>73</v>
      </c>
      <c r="AE1" cm="1">
        <f t="array" ref="AE1">fluidMassFlowConvert(Y2,Z2,AF1)</f>
        <v>1E-3</v>
      </c>
      <c r="AF1" t="s">
        <v>41</v>
      </c>
      <c r="AK1" t="s">
        <v>94</v>
      </c>
    </row>
    <row r="2" spans="2:38" x14ac:dyDescent="0.25">
      <c r="B2" t="s">
        <v>0</v>
      </c>
      <c r="C2" t="s">
        <v>1</v>
      </c>
      <c r="F2" t="s">
        <v>28</v>
      </c>
      <c r="G2">
        <v>1</v>
      </c>
      <c r="H2" t="s">
        <v>41</v>
      </c>
      <c r="J2" t="s">
        <v>28</v>
      </c>
      <c r="K2">
        <v>1</v>
      </c>
      <c r="L2" t="s">
        <v>29</v>
      </c>
      <c r="N2" t="s">
        <v>28</v>
      </c>
      <c r="O2">
        <v>1</v>
      </c>
      <c r="P2" t="s">
        <v>30</v>
      </c>
      <c r="R2" t="s">
        <v>28</v>
      </c>
      <c r="S2">
        <v>1</v>
      </c>
      <c r="T2" t="s">
        <v>44</v>
      </c>
      <c r="X2" t="s">
        <v>28</v>
      </c>
      <c r="Y2">
        <v>1</v>
      </c>
      <c r="Z2" t="s">
        <v>44</v>
      </c>
      <c r="AD2" t="s">
        <v>74</v>
      </c>
      <c r="AE2" cm="1">
        <f t="array" ref="AE2">fluidGasConstant("O2")</f>
        <v>259.83498859339352</v>
      </c>
      <c r="AF2" t="s">
        <v>75</v>
      </c>
      <c r="AG2">
        <f>AE2/1000</f>
        <v>0.25983498859339355</v>
      </c>
      <c r="AK2" t="s">
        <v>41</v>
      </c>
      <c r="AL2" t="str" cm="1">
        <f t="array" ref="AL2">fluidUnitType(AK2)</f>
        <v>Mass Flow</v>
      </c>
    </row>
    <row r="3" spans="2:38" x14ac:dyDescent="0.25">
      <c r="B3" t="s">
        <v>4</v>
      </c>
      <c r="C3" cm="1">
        <f t="array" ref="C3">fluidStandardConditions(C2,"T")</f>
        <v>273.14999999999998</v>
      </c>
      <c r="D3" t="s">
        <v>2</v>
      </c>
      <c r="G3" cm="1">
        <f t="array" ref="G3">fluidMassFlowConvert($G$2,$H$2,H3)</f>
        <v>1</v>
      </c>
      <c r="H3" t="s">
        <v>41</v>
      </c>
      <c r="K3" cm="1">
        <f t="array" ref="K3">fluidVolumeFlowConvert($K$2,$L$2,L3)</f>
        <v>9.9999999999999995E-7</v>
      </c>
      <c r="L3" t="s">
        <v>10</v>
      </c>
      <c r="O3" cm="1">
        <f t="array" ref="O3">fluidDensityConvert(O$2,$P$2,P3)</f>
        <v>1</v>
      </c>
      <c r="P3" t="s">
        <v>30</v>
      </c>
      <c r="R3" t="s">
        <v>52</v>
      </c>
      <c r="S3" t="s">
        <v>71</v>
      </c>
      <c r="T3" t="s">
        <v>54</v>
      </c>
      <c r="X3" t="s">
        <v>52</v>
      </c>
      <c r="Y3" t="s">
        <v>53</v>
      </c>
      <c r="Z3" t="s">
        <v>54</v>
      </c>
      <c r="AD3" t="s">
        <v>76</v>
      </c>
      <c r="AE3">
        <f>CONVERT(AG3,"F","K")</f>
        <v>288.14999999999998</v>
      </c>
      <c r="AF3" t="s">
        <v>2</v>
      </c>
      <c r="AG3">
        <v>59</v>
      </c>
      <c r="AH3" t="s">
        <v>72</v>
      </c>
      <c r="AI3" t="s">
        <v>81</v>
      </c>
      <c r="AK3" t="s">
        <v>41</v>
      </c>
      <c r="AL3" t="str" cm="1">
        <f t="array" ref="AL3">fluidUnitType(AK3)</f>
        <v>Mass Flow</v>
      </c>
    </row>
    <row r="4" spans="2:38" x14ac:dyDescent="0.25">
      <c r="B4" t="s">
        <v>5</v>
      </c>
      <c r="C4" cm="1">
        <f t="array" ref="C4">fluidStandardConditions(C2,"P")</f>
        <v>100000</v>
      </c>
      <c r="D4" t="s">
        <v>3</v>
      </c>
      <c r="G4" cm="1">
        <f t="array" ref="G4">fluidMassFlowConvert($G$2,$H$2,H4)</f>
        <v>60</v>
      </c>
      <c r="H4" t="s">
        <v>42</v>
      </c>
      <c r="K4" cm="1">
        <f t="array" ref="K4">fluidVolumeFlowConvert($K$2,$L$2,L4)</f>
        <v>5.9999999999999995E-5</v>
      </c>
      <c r="L4" t="s">
        <v>11</v>
      </c>
      <c r="O4" cm="1">
        <f t="array" ref="O4">fluidDensityConvert(O$2,$P$2,P4)</f>
        <v>9.9999999999999995E-7</v>
      </c>
      <c r="P4" t="s">
        <v>31</v>
      </c>
      <c r="R4" t="s">
        <v>0</v>
      </c>
      <c r="S4" t="s">
        <v>70</v>
      </c>
      <c r="T4" t="s">
        <v>54</v>
      </c>
      <c r="X4" t="s">
        <v>0</v>
      </c>
      <c r="Y4" t="s">
        <v>83</v>
      </c>
      <c r="Z4" t="s">
        <v>54</v>
      </c>
      <c r="AD4" t="s">
        <v>77</v>
      </c>
      <c r="AE4">
        <f>CONVERT(AG4,"kPa","Pa")</f>
        <v>101325</v>
      </c>
      <c r="AF4" t="s">
        <v>3</v>
      </c>
      <c r="AG4">
        <v>101.325</v>
      </c>
      <c r="AH4" t="s">
        <v>80</v>
      </c>
      <c r="AI4" t="s">
        <v>82</v>
      </c>
      <c r="AK4" t="s">
        <v>42</v>
      </c>
      <c r="AL4" t="str" cm="1">
        <f t="array" ref="AL4">fluidUnitType(AK4)</f>
        <v>Mass Flow</v>
      </c>
    </row>
    <row r="5" spans="2:38" x14ac:dyDescent="0.25">
      <c r="B5" t="s">
        <v>6</v>
      </c>
      <c r="C5" cm="1">
        <f t="array" ref="C5">fluidStandardConditions(C2,"T",FALSE)</f>
        <v>491.66999999999996</v>
      </c>
      <c r="D5" t="s">
        <v>8</v>
      </c>
      <c r="G5" cm="1">
        <f t="array" ref="G5">fluidMassFlowConvert($G$2,$H$2,H5)</f>
        <v>3600</v>
      </c>
      <c r="H5" t="s">
        <v>43</v>
      </c>
      <c r="K5" cm="1">
        <f t="array" ref="K5">fluidVolumeFlowConvert($K$2,$L$2,L5)</f>
        <v>3.5999999999999999E-3</v>
      </c>
      <c r="L5" t="s">
        <v>12</v>
      </c>
      <c r="O5" cm="1">
        <f t="array" ref="O5">fluidDensityConvert(O$2,$P$2,P5)</f>
        <v>1E-3</v>
      </c>
      <c r="P5" t="s">
        <v>32</v>
      </c>
      <c r="S5" cm="1">
        <f t="array" ref="S5">fluidMassFlowToStandardFlow($S$2,$T$2,T5,$S$3,$S$4)</f>
        <v>6.0697717489619739E-3</v>
      </c>
      <c r="T5" t="s">
        <v>55</v>
      </c>
      <c r="U5" cm="1">
        <f t="array" ref="U5">fluidStandardFlowToMassFlow(S5,T5,V5,$S$3,$S$4)</f>
        <v>1</v>
      </c>
      <c r="V5" t="s">
        <v>44</v>
      </c>
      <c r="Y5" t="s">
        <v>86</v>
      </c>
      <c r="Z5" t="s">
        <v>87</v>
      </c>
      <c r="AA5" t="s">
        <v>84</v>
      </c>
      <c r="AB5" t="s">
        <v>85</v>
      </c>
      <c r="AD5" t="s">
        <v>78</v>
      </c>
      <c r="AE5">
        <f>AE4/AE2/AE3</f>
        <v>1.3533195542918099</v>
      </c>
      <c r="AF5" t="s">
        <v>30</v>
      </c>
      <c r="AK5" t="s">
        <v>43</v>
      </c>
      <c r="AL5" t="str" cm="1">
        <f t="array" ref="AL5">fluidUnitType(AK5)</f>
        <v>Mass Flow</v>
      </c>
    </row>
    <row r="6" spans="2:38" x14ac:dyDescent="0.25">
      <c r="B6" t="s">
        <v>7</v>
      </c>
      <c r="C6" cm="1">
        <f t="array" ref="C6">fluidStandardConditions(C2,"P",FALSE)</f>
        <v>14.5038</v>
      </c>
      <c r="D6" t="s">
        <v>9</v>
      </c>
      <c r="G6" cm="1">
        <f t="array" ref="G6">fluidMassFlowConvert($G$2,$H$2,H6)</f>
        <v>1000</v>
      </c>
      <c r="H6" t="s">
        <v>44</v>
      </c>
      <c r="K6" cm="1">
        <f t="array" ref="K6">fluidVolumeFlowConvert($K$2,$L$2,L6)</f>
        <v>1</v>
      </c>
      <c r="L6" t="s">
        <v>13</v>
      </c>
      <c r="O6" cm="1">
        <f t="array" ref="O6">fluidDensityConvert(O$2,$P$2,P6)</f>
        <v>1000</v>
      </c>
      <c r="P6" t="s">
        <v>33</v>
      </c>
      <c r="S6" cm="1">
        <f t="array" ref="S6">fluidMassFlowToStandardFlow($S$2,$T$2,T6,$S$3,$S$4)</f>
        <v>0.36418630493771842</v>
      </c>
      <c r="T6" t="s">
        <v>56</v>
      </c>
      <c r="U6" cm="1">
        <f t="array" ref="U6">fluidStandardFlowToMassFlow(S6,T6,V6,$S$3,$S$4)</f>
        <v>1</v>
      </c>
      <c r="V6" t="s">
        <v>44</v>
      </c>
      <c r="Y6" cm="1">
        <f t="array" ref="Y6">fluidMassFlowToStandardFlow($Y$2,$Z$2,Z6,$Y$3,$Y$4)</f>
        <v>2705.5243042147636</v>
      </c>
      <c r="Z6" t="s">
        <v>68</v>
      </c>
      <c r="AA6">
        <v>2704.7220000000002</v>
      </c>
      <c r="AB6">
        <f>Y6-AA6</f>
        <v>0.80230421476335323</v>
      </c>
      <c r="AD6" t="s">
        <v>79</v>
      </c>
      <c r="AE6">
        <f>AE1/AE5</f>
        <v>7.3892377955278902E-4</v>
      </c>
      <c r="AF6" t="s">
        <v>10</v>
      </c>
      <c r="AK6" t="s">
        <v>44</v>
      </c>
      <c r="AL6" t="str" cm="1">
        <f t="array" ref="AL6">fluidUnitType(AK6)</f>
        <v>Mass Flow</v>
      </c>
    </row>
    <row r="7" spans="2:38" x14ac:dyDescent="0.25">
      <c r="G7" cm="1">
        <f t="array" ref="G7">fluidMassFlowConvert($G$2,$H$2,H7)</f>
        <v>60000</v>
      </c>
      <c r="H7" t="s">
        <v>45</v>
      </c>
      <c r="K7" cm="1">
        <f t="array" ref="K7">fluidVolumeFlowConvert($K$2,$L$2,L7)</f>
        <v>60</v>
      </c>
      <c r="L7" t="s">
        <v>14</v>
      </c>
      <c r="O7" cm="1">
        <f t="array" ref="O7">fluidDensityConvert(O$2,$P$2,P7)</f>
        <v>1</v>
      </c>
      <c r="P7" t="s">
        <v>34</v>
      </c>
      <c r="S7" cm="1">
        <f t="array" ref="S7">fluidMassFlowToStandardFlow($S$2,$T$2,T7,$S$3,$S$4)</f>
        <v>21.851178296263107</v>
      </c>
      <c r="T7" t="s">
        <v>57</v>
      </c>
      <c r="U7" cm="1">
        <f t="array" ref="U7">fluidStandardFlowToMassFlow(S7,T7,V7,$S$3,$S$4)</f>
        <v>1</v>
      </c>
      <c r="V7" t="s">
        <v>44</v>
      </c>
      <c r="Y7" cm="1">
        <f t="array" ref="Y7">fluidMassFlowToStandardFlow($Y$2,$Z$2,Z7,$Y$3,$Y$4)</f>
        <v>1.5656933966114581</v>
      </c>
      <c r="Z7" t="s">
        <v>65</v>
      </c>
      <c r="AA7">
        <v>1.565232</v>
      </c>
      <c r="AB7">
        <f t="shared" ref="AB7:AB11" si="0">Y7-AA7</f>
        <v>4.6139661145816468E-4</v>
      </c>
      <c r="AE7" cm="1">
        <f t="array" ref="AE7">fluidVolumeFlowConvert(AE6,AF6,AF7)</f>
        <v>738.92377955278903</v>
      </c>
      <c r="AF7" t="s">
        <v>29</v>
      </c>
      <c r="AG7">
        <v>738.7079</v>
      </c>
      <c r="AH7">
        <f>AE7-AG7</f>
        <v>0.21587955278903337</v>
      </c>
      <c r="AK7" t="s">
        <v>45</v>
      </c>
      <c r="AL7" t="str" cm="1">
        <f t="array" ref="AL7">fluidUnitType(AK7)</f>
        <v>Mass Flow</v>
      </c>
    </row>
    <row r="8" spans="2:38" x14ac:dyDescent="0.25">
      <c r="G8" cm="1">
        <f t="array" ref="G8">fluidMassFlowConvert($G$2,$H$2,H8)</f>
        <v>3600000</v>
      </c>
      <c r="H8" t="s">
        <v>46</v>
      </c>
      <c r="K8" cm="1">
        <f t="array" ref="K8">fluidVolumeFlowConvert($K$2,$L$2,L8)</f>
        <v>3600</v>
      </c>
      <c r="L8" t="s">
        <v>15</v>
      </c>
      <c r="O8" cm="1">
        <f t="array" ref="O8">fluidDensityConvert(O$2,$P$2,P8)</f>
        <v>3.6127298147753422E-5</v>
      </c>
      <c r="P8" t="s">
        <v>35</v>
      </c>
      <c r="S8" cm="1">
        <f t="array" ref="S8">fluidMassFlowToStandardFlow($S$2,$T$2,T8,$S$3,$S$4)</f>
        <v>6.0697717489619736</v>
      </c>
      <c r="T8" t="s">
        <v>58</v>
      </c>
      <c r="U8" cm="1">
        <f t="array" ref="U8">fluidStandardFlowToMassFlow(S8,T8,V8,$S$3,$S$4)</f>
        <v>1</v>
      </c>
      <c r="V8" t="s">
        <v>44</v>
      </c>
      <c r="Y8" cm="1">
        <f t="array" ref="Y8">fluidMassFlowToStandardFlow($Y$2,$Z$2,Z8,$Y$3,$Y$4)</f>
        <v>44.335426773167335</v>
      </c>
      <c r="Z8" t="s">
        <v>59</v>
      </c>
      <c r="AA8">
        <v>44.322479999999999</v>
      </c>
      <c r="AB8">
        <f t="shared" si="0"/>
        <v>1.2946773167335834E-2</v>
      </c>
      <c r="AK8" t="s">
        <v>46</v>
      </c>
      <c r="AL8" t="str" cm="1">
        <f t="array" ref="AL8">fluidUnitType(AK8)</f>
        <v>Mass Flow</v>
      </c>
    </row>
    <row r="9" spans="2:38" x14ac:dyDescent="0.25">
      <c r="B9" t="s">
        <v>50</v>
      </c>
      <c r="C9" cm="1">
        <f t="array" ref="C9">fluidUniversalGasConstant()</f>
        <v>8.3144597999999998</v>
      </c>
      <c r="G9" cm="1">
        <f t="array" ref="G9">fluidMassFlowConvert($G$2,$H$2,H9)</f>
        <v>2.2046244201837775</v>
      </c>
      <c r="H9" t="s">
        <v>47</v>
      </c>
      <c r="K9" cm="1">
        <f t="array" ref="K9">fluidVolumeFlowConvert($K$2,$L$2,L9)</f>
        <v>1E-3</v>
      </c>
      <c r="L9" t="s">
        <v>16</v>
      </c>
      <c r="O9" cm="1">
        <f t="array" ref="O9">fluidDensityConvert(O$2,$P$2,P9)</f>
        <v>6.2429766512673242E-2</v>
      </c>
      <c r="P9" t="s">
        <v>36</v>
      </c>
      <c r="S9" cm="1">
        <f t="array" ref="S9">fluidMassFlowToStandardFlow($S$2,$T$2,T9,$S$3,$S$4)</f>
        <v>364.18630493771843</v>
      </c>
      <c r="T9" t="s">
        <v>59</v>
      </c>
      <c r="U9" cm="1">
        <f t="array" ref="U9">fluidStandardFlowToMassFlow(S9,T9,V9,$S$3,$S$4)</f>
        <v>1</v>
      </c>
      <c r="V9" t="s">
        <v>44</v>
      </c>
      <c r="Y9" cm="1">
        <f t="array" ref="Y9">fluidMassFlowToStandardFlow($Y$2,$Z$2,Z9,$Y$3,$Y$4)</f>
        <v>0.73892377955278887</v>
      </c>
      <c r="Z9" t="s">
        <v>58</v>
      </c>
      <c r="AA9">
        <v>0.73870800000000003</v>
      </c>
      <c r="AB9">
        <f t="shared" si="0"/>
        <v>2.1577955278884176E-4</v>
      </c>
      <c r="AK9" t="s">
        <v>47</v>
      </c>
      <c r="AL9" t="str" cm="1">
        <f t="array" ref="AL9">fluidUnitType(AK9)</f>
        <v>Mass Flow</v>
      </c>
    </row>
    <row r="10" spans="2:38" x14ac:dyDescent="0.25">
      <c r="G10" cm="1">
        <f t="array" ref="G10">fluidMassFlowConvert($G$2,$H$2,H10)</f>
        <v>132.27746521102665</v>
      </c>
      <c r="H10" t="s">
        <v>48</v>
      </c>
      <c r="K10" cm="1">
        <f t="array" ref="K10">fluidVolumeFlowConvert($K$2,$L$2,L10)</f>
        <v>0.06</v>
      </c>
      <c r="L10" t="s">
        <v>17</v>
      </c>
      <c r="O10" cm="1">
        <f t="array" ref="O10">fluidDensityConvert(O$2,$P$2,P10)</f>
        <v>8.3454342129421002E-3</v>
      </c>
      <c r="P10" t="s">
        <v>37</v>
      </c>
      <c r="S10" cm="1">
        <f t="array" ref="S10">fluidMassFlowToStandardFlow($S$2,$T$2,T10,$S$3,$S$4)</f>
        <v>21851.178296263108</v>
      </c>
      <c r="T10" t="s">
        <v>60</v>
      </c>
      <c r="U10" cm="1">
        <f t="array" ref="U10">fluidStandardFlowToMassFlow(S10,T10,V10,$S$3,$S$4)</f>
        <v>1.0000000000000002</v>
      </c>
      <c r="V10" t="s">
        <v>44</v>
      </c>
      <c r="Y10" cm="1">
        <f t="array" ref="Y10">fluidMassFlowToStandardFlow($Y$2,$Z$2,Z10,$Y$3,$Y$4)</f>
        <v>44335.426773167332</v>
      </c>
      <c r="Z10" t="s">
        <v>62</v>
      </c>
      <c r="AA10">
        <v>44322.48</v>
      </c>
      <c r="AB10">
        <f t="shared" si="0"/>
        <v>12.946773167328502</v>
      </c>
      <c r="AK10" t="s">
        <v>48</v>
      </c>
      <c r="AL10" t="str" cm="1">
        <f t="array" ref="AL10">fluidUnitType(AK10)</f>
        <v>Mass Flow</v>
      </c>
    </row>
    <row r="11" spans="2:38" x14ac:dyDescent="0.25">
      <c r="G11" cm="1">
        <f t="array" ref="G11">fluidMassFlowConvert($G$2,$H$2,H11)</f>
        <v>7936.6479126615986</v>
      </c>
      <c r="H11" t="s">
        <v>49</v>
      </c>
      <c r="K11" cm="1">
        <f t="array" ref="K11">fluidVolumeFlowConvert($K$2,$L$2,L11)</f>
        <v>3.5999999999999996</v>
      </c>
      <c r="L11" t="s">
        <v>18</v>
      </c>
      <c r="S11" cm="1">
        <f t="array" ref="S11">fluidMassFlowToStandardFlow($S$2,$T$2,T11,$S$3,$S$4)</f>
        <v>6069.7717489619736</v>
      </c>
      <c r="T11" t="s">
        <v>61</v>
      </c>
      <c r="U11" cm="1">
        <f t="array" ref="U11">fluidStandardFlowToMassFlow(S11,T11,V11,$S$3,$S$4)</f>
        <v>1</v>
      </c>
      <c r="V11" t="s">
        <v>44</v>
      </c>
      <c r="Y11" cm="1">
        <f t="array" ref="Y11">fluidMassFlowToStandardFlow($Y$2,$Z$2,Z11,$Y$3,$Y$4)</f>
        <v>738.92377955278891</v>
      </c>
      <c r="Z11" t="s">
        <v>61</v>
      </c>
      <c r="AA11">
        <v>738.7079</v>
      </c>
      <c r="AB11">
        <f t="shared" si="0"/>
        <v>0.21587955278891968</v>
      </c>
      <c r="AK11" t="s">
        <v>49</v>
      </c>
      <c r="AL11" t="str" cm="1">
        <f t="array" ref="AL11">fluidUnitType(AK11)</f>
        <v>Mass Flow</v>
      </c>
    </row>
    <row r="12" spans="2:38" x14ac:dyDescent="0.25">
      <c r="K12" cm="1">
        <f t="array" ref="K12">fluidVolumeFlowConvert($K$2,$L$2,L12)</f>
        <v>6.1023982425093055E-2</v>
      </c>
      <c r="L12" t="s">
        <v>19</v>
      </c>
      <c r="S12" cm="1">
        <f t="array" ref="S12">fluidMassFlowToStandardFlow($S$2,$T$2,T12,$S$3,$S$4)</f>
        <v>364186.30493771844</v>
      </c>
      <c r="T12" t="s">
        <v>62</v>
      </c>
      <c r="U12" cm="1">
        <f t="array" ref="U12">fluidStandardFlowToMassFlow(S12,T12,V12,$S$3,$S$4)</f>
        <v>1</v>
      </c>
      <c r="V12" t="s">
        <v>44</v>
      </c>
      <c r="AK12" t="s">
        <v>29</v>
      </c>
      <c r="AL12" t="str" cm="1">
        <f t="array" ref="AL12">fluidUnitType(AK12)</f>
        <v>Volume Flow</v>
      </c>
    </row>
    <row r="13" spans="2:38" x14ac:dyDescent="0.25">
      <c r="K13" cm="1">
        <f t="array" ref="K13">fluidVolumeFlowConvert($K$2,$L$2,L13)</f>
        <v>3.6614389455055831</v>
      </c>
      <c r="L13" t="s">
        <v>20</v>
      </c>
      <c r="S13" cm="1">
        <f t="array" ref="S13">fluidMassFlowToStandardFlow($S$2,$T$2,T13,$S$3,$S$4)</f>
        <v>21851178.296263106</v>
      </c>
      <c r="T13" t="s">
        <v>63</v>
      </c>
      <c r="U13" cm="1">
        <f t="array" ref="U13">fluidStandardFlowToMassFlow(S13,T13,V13,$S$3,$S$4)</f>
        <v>1</v>
      </c>
      <c r="V13" t="s">
        <v>44</v>
      </c>
      <c r="AK13" t="s">
        <v>10</v>
      </c>
      <c r="AL13" t="str" cm="1">
        <f t="array" ref="AL13">fluidUnitType(AK13)</f>
        <v>Volume Flow</v>
      </c>
    </row>
    <row r="14" spans="2:38" x14ac:dyDescent="0.25">
      <c r="K14" cm="1">
        <f t="array" ref="K14">fluidVolumeFlowConvert($K$2,$L$2,L14)</f>
        <v>219.686336730335</v>
      </c>
      <c r="L14" t="s">
        <v>21</v>
      </c>
      <c r="S14" cm="1">
        <f t="array" ref="S14">fluidMassFlowToStandardFlow($S$2,$T$2,T14,$S$3,$S$4)</f>
        <v>0.21435231908132182</v>
      </c>
      <c r="T14" t="s">
        <v>64</v>
      </c>
      <c r="U14" cm="1">
        <f t="array" ref="U14">fluidStandardFlowToMassFlow(S14,T14,V14,$S$3,$S$4)</f>
        <v>1</v>
      </c>
      <c r="V14" t="s">
        <v>44</v>
      </c>
      <c r="AK14" t="s">
        <v>11</v>
      </c>
      <c r="AL14" t="str" cm="1">
        <f t="array" ref="AL14">fluidUnitType(AK14)</f>
        <v>Volume Flow</v>
      </c>
    </row>
    <row r="15" spans="2:38" x14ac:dyDescent="0.25">
      <c r="K15" cm="1">
        <f t="array" ref="K15">fluidVolumeFlowConvert($K$2,$L$2,L15)</f>
        <v>3.5314724827664145E-5</v>
      </c>
      <c r="L15" t="s">
        <v>22</v>
      </c>
      <c r="S15" cm="1">
        <f t="array" ref="S15">fluidMassFlowToStandardFlow($S$2,$T$2,T15,$S$3,$S$4)</f>
        <v>12.86113914487931</v>
      </c>
      <c r="T15" t="s">
        <v>65</v>
      </c>
      <c r="U15" cm="1">
        <f t="array" ref="U15">fluidStandardFlowToMassFlow(S15,T15,V15,$S$3,$S$4)</f>
        <v>1</v>
      </c>
      <c r="V15" t="s">
        <v>44</v>
      </c>
      <c r="AK15" t="s">
        <v>12</v>
      </c>
      <c r="AL15" t="str" cm="1">
        <f t="array" ref="AL15">fluidUnitType(AK15)</f>
        <v>Volume Flow</v>
      </c>
    </row>
    <row r="16" spans="2:38" x14ac:dyDescent="0.25">
      <c r="K16" cm="1">
        <f t="array" ref="K16">fluidVolumeFlowConvert($K$2,$L$2,L16)</f>
        <v>2.1188834896598485E-3</v>
      </c>
      <c r="L16" t="s">
        <v>23</v>
      </c>
      <c r="S16" cm="1">
        <f t="array" ref="S16">fluidMassFlowToStandardFlow($S$2,$T$2,T16,$S$3,$S$4)</f>
        <v>1333445.9203187346</v>
      </c>
      <c r="T16" t="s">
        <v>66</v>
      </c>
      <c r="U16" cm="1">
        <f t="array" ref="U16">fluidStandardFlowToMassFlow(S16,T16,V16,$S$3,$S$4)</f>
        <v>1</v>
      </c>
      <c r="V16" t="s">
        <v>44</v>
      </c>
      <c r="AK16" t="s">
        <v>13</v>
      </c>
      <c r="AL16" t="str" cm="1">
        <f t="array" ref="AL16">fluidUnitType(AK16)</f>
        <v>Volume Flow</v>
      </c>
    </row>
    <row r="17" spans="11:38" x14ac:dyDescent="0.25">
      <c r="K17" cm="1">
        <f t="array" ref="K17">fluidVolumeFlowConvert($K$2,$L$2,L17)</f>
        <v>0.12713300937959091</v>
      </c>
      <c r="L17" t="s">
        <v>24</v>
      </c>
      <c r="S17" cm="1">
        <f t="array" ref="S17">fluidMassFlowToStandardFlow($S$2,$T$2,T17,$S$3,$S$4)</f>
        <v>370.40164453298183</v>
      </c>
      <c r="T17" t="s">
        <v>67</v>
      </c>
      <c r="U17" cm="1">
        <f t="array" ref="U17">fluidStandardFlowToMassFlow(S17,T17,V17,$S$3,$S$4)</f>
        <v>1</v>
      </c>
      <c r="V17" t="s">
        <v>44</v>
      </c>
      <c r="AK17" t="s">
        <v>14</v>
      </c>
      <c r="AL17" t="str" cm="1">
        <f t="array" ref="AL17">fluidUnitType(AK17)</f>
        <v>Volume Flow</v>
      </c>
    </row>
    <row r="18" spans="11:38" x14ac:dyDescent="0.25">
      <c r="K18" cm="1">
        <f t="array" ref="K18">fluidVolumeFlowConvert($K$2,$L$2,L18)</f>
        <v>2.6417200000000002E-4</v>
      </c>
      <c r="L18" t="s">
        <v>25</v>
      </c>
      <c r="S18" cm="1">
        <f t="array" ref="S18">fluidMassFlowToStandardFlow($S$2,$T$2,T18,$S$3,$S$4)</f>
        <v>22224.098671978911</v>
      </c>
      <c r="T18" t="s">
        <v>68</v>
      </c>
      <c r="U18" cm="1">
        <f t="array" ref="U18">fluidStandardFlowToMassFlow(S18,T18,V18,$S$3,$S$4)</f>
        <v>1</v>
      </c>
      <c r="V18" t="s">
        <v>44</v>
      </c>
      <c r="AK18" t="s">
        <v>15</v>
      </c>
      <c r="AL18" t="str" cm="1">
        <f t="array" ref="AL18">fluidUnitType(AK18)</f>
        <v>Volume Flow</v>
      </c>
    </row>
    <row r="19" spans="11:38" x14ac:dyDescent="0.25">
      <c r="K19" cm="1">
        <f t="array" ref="K19">fluidVolumeFlowConvert($K$2,$L$2,L19)</f>
        <v>1.5850320000000001E-2</v>
      </c>
      <c r="L19" t="s">
        <v>26</v>
      </c>
      <c r="S19" cm="1">
        <f t="array" ref="S19">fluidMassFlowToStandardFlow($S$2,$T$2,T19,$S$3,$S$4)</f>
        <v>1333445.9203187346</v>
      </c>
      <c r="T19" t="s">
        <v>69</v>
      </c>
      <c r="U19" cm="1">
        <f t="array" ref="U19">fluidStandardFlowToMassFlow(S19,T19,V19,$S$3,$S$4)</f>
        <v>1</v>
      </c>
      <c r="V19" t="s">
        <v>44</v>
      </c>
      <c r="AK19" t="s">
        <v>16</v>
      </c>
      <c r="AL19" t="str" cm="1">
        <f t="array" ref="AL19">fluidUnitType(AK19)</f>
        <v>Volume Flow</v>
      </c>
    </row>
    <row r="20" spans="11:38" x14ac:dyDescent="0.25">
      <c r="K20" cm="1">
        <f t="array" ref="K20">fluidVolumeFlowConvert($K$2,$L$2,L20)</f>
        <v>0.95101920000000006</v>
      </c>
      <c r="L20" t="s">
        <v>27</v>
      </c>
      <c r="AK20" t="s">
        <v>17</v>
      </c>
      <c r="AL20" t="str" cm="1">
        <f t="array" ref="AL20">fluidUnitType(AK20)</f>
        <v>Volume Flow</v>
      </c>
    </row>
    <row r="21" spans="11:38" x14ac:dyDescent="0.25">
      <c r="AK21" t="s">
        <v>18</v>
      </c>
      <c r="AL21" t="str" cm="1">
        <f t="array" ref="AL21">fluidUnitType(AK21)</f>
        <v>Volume Flow</v>
      </c>
    </row>
    <row r="22" spans="11:38" x14ac:dyDescent="0.25">
      <c r="AK22" t="s">
        <v>19</v>
      </c>
      <c r="AL22" t="str" cm="1">
        <f t="array" ref="AL22">fluidUnitType(AK22)</f>
        <v>Volume Flow</v>
      </c>
    </row>
    <row r="23" spans="11:38" x14ac:dyDescent="0.25">
      <c r="AK23" t="s">
        <v>20</v>
      </c>
      <c r="AL23" t="str" cm="1">
        <f t="array" ref="AL23">fluidUnitType(AK23)</f>
        <v>Volume Flow</v>
      </c>
    </row>
    <row r="24" spans="11:38" x14ac:dyDescent="0.25">
      <c r="AK24" t="s">
        <v>21</v>
      </c>
      <c r="AL24" t="str" cm="1">
        <f t="array" ref="AL24">fluidUnitType(AK24)</f>
        <v>Volume Flow</v>
      </c>
    </row>
    <row r="25" spans="11:38" x14ac:dyDescent="0.25">
      <c r="AK25" t="s">
        <v>22</v>
      </c>
      <c r="AL25" t="str" cm="1">
        <f t="array" ref="AL25">fluidUnitType(AK25)</f>
        <v>Volume Flow</v>
      </c>
    </row>
    <row r="26" spans="11:38" x14ac:dyDescent="0.25">
      <c r="AK26" t="s">
        <v>23</v>
      </c>
      <c r="AL26" t="str" cm="1">
        <f t="array" ref="AL26">fluidUnitType(AK26)</f>
        <v>Volume Flow</v>
      </c>
    </row>
    <row r="27" spans="11:38" x14ac:dyDescent="0.25">
      <c r="AK27" t="s">
        <v>24</v>
      </c>
      <c r="AL27" t="str" cm="1">
        <f t="array" ref="AL27">fluidUnitType(AK27)</f>
        <v>Volume Flow</v>
      </c>
    </row>
    <row r="28" spans="11:38" x14ac:dyDescent="0.25">
      <c r="AK28" t="s">
        <v>25</v>
      </c>
      <c r="AL28" t="str" cm="1">
        <f t="array" ref="AL28">fluidUnitType(AK28)</f>
        <v>Volume Flow</v>
      </c>
    </row>
    <row r="29" spans="11:38" x14ac:dyDescent="0.25">
      <c r="AK29" t="s">
        <v>26</v>
      </c>
      <c r="AL29" t="str" cm="1">
        <f t="array" ref="AL29">fluidUnitType(AK29)</f>
        <v>Volume Flow</v>
      </c>
    </row>
    <row r="30" spans="11:38" x14ac:dyDescent="0.25">
      <c r="AK30" t="s">
        <v>27</v>
      </c>
      <c r="AL30" t="str" cm="1">
        <f t="array" ref="AL30">fluidUnitType(AK30)</f>
        <v>Volume Flow</v>
      </c>
    </row>
    <row r="31" spans="11:38" x14ac:dyDescent="0.25">
      <c r="AK31" t="s">
        <v>30</v>
      </c>
      <c r="AL31" t="str" cm="1">
        <f t="array" ref="AL31">fluidUnitType(AK31)</f>
        <v>Density</v>
      </c>
    </row>
    <row r="32" spans="11:38" x14ac:dyDescent="0.25">
      <c r="AK32" t="s">
        <v>30</v>
      </c>
      <c r="AL32" t="str" cm="1">
        <f t="array" ref="AL32">fluidUnitType(AK32)</f>
        <v>Density</v>
      </c>
    </row>
    <row r="33" spans="37:38" x14ac:dyDescent="0.25">
      <c r="AK33" t="s">
        <v>31</v>
      </c>
      <c r="AL33" t="str" cm="1">
        <f t="array" ref="AL33">fluidUnitType(AK33)</f>
        <v>Density</v>
      </c>
    </row>
    <row r="34" spans="37:38" x14ac:dyDescent="0.25">
      <c r="AK34" t="s">
        <v>32</v>
      </c>
      <c r="AL34" t="str" cm="1">
        <f t="array" ref="AL34">fluidUnitType(AK34)</f>
        <v>Density</v>
      </c>
    </row>
    <row r="35" spans="37:38" x14ac:dyDescent="0.25">
      <c r="AK35" t="s">
        <v>33</v>
      </c>
      <c r="AL35" t="str" cm="1">
        <f t="array" ref="AL35">fluidUnitType(AK35)</f>
        <v>Density</v>
      </c>
    </row>
    <row r="36" spans="37:38" x14ac:dyDescent="0.25">
      <c r="AK36" t="s">
        <v>34</v>
      </c>
      <c r="AL36" t="str" cm="1">
        <f t="array" ref="AL36">fluidUnitType(AK36)</f>
        <v>Density</v>
      </c>
    </row>
    <row r="37" spans="37:38" x14ac:dyDescent="0.25">
      <c r="AK37" t="s">
        <v>35</v>
      </c>
      <c r="AL37" t="str" cm="1">
        <f t="array" ref="AL37">fluidUnitType(AK37)</f>
        <v>Density</v>
      </c>
    </row>
    <row r="38" spans="37:38" x14ac:dyDescent="0.25">
      <c r="AK38" t="s">
        <v>36</v>
      </c>
      <c r="AL38" t="str" cm="1">
        <f t="array" ref="AL38">fluidUnitType(AK38)</f>
        <v>Density</v>
      </c>
    </row>
    <row r="39" spans="37:38" x14ac:dyDescent="0.25">
      <c r="AK39" t="s">
        <v>37</v>
      </c>
      <c r="AL39" t="str" cm="1">
        <f t="array" ref="AL39">fluidUnitType(AK39)</f>
        <v>Density</v>
      </c>
    </row>
    <row r="40" spans="37:38" x14ac:dyDescent="0.25">
      <c r="AK40" t="s">
        <v>55</v>
      </c>
      <c r="AL40" t="str" cm="1">
        <f t="array" ref="AL40">fluidUnitType(AK40)</f>
        <v>Standard Volume Flow</v>
      </c>
    </row>
    <row r="41" spans="37:38" x14ac:dyDescent="0.25">
      <c r="AK41" t="s">
        <v>56</v>
      </c>
      <c r="AL41" t="str" cm="1">
        <f t="array" ref="AL41">fluidUnitType(AK41)</f>
        <v>Standard Volume Flow</v>
      </c>
    </row>
    <row r="42" spans="37:38" x14ac:dyDescent="0.25">
      <c r="AK42" t="s">
        <v>57</v>
      </c>
      <c r="AL42" t="str" cm="1">
        <f t="array" ref="AL42">fluidUnitType(AK42)</f>
        <v>Standard Volume Flow</v>
      </c>
    </row>
    <row r="43" spans="37:38" x14ac:dyDescent="0.25">
      <c r="AK43" t="s">
        <v>58</v>
      </c>
      <c r="AL43" t="str" cm="1">
        <f t="array" ref="AL43">fluidUnitType(AK43)</f>
        <v>Standard Volume Flow</v>
      </c>
    </row>
    <row r="44" spans="37:38" x14ac:dyDescent="0.25">
      <c r="AK44" t="s">
        <v>59</v>
      </c>
      <c r="AL44" t="str" cm="1">
        <f t="array" ref="AL44">fluidUnitType(AK44)</f>
        <v>Standard Volume Flow</v>
      </c>
    </row>
    <row r="45" spans="37:38" x14ac:dyDescent="0.25">
      <c r="AK45" t="s">
        <v>60</v>
      </c>
      <c r="AL45" t="str" cm="1">
        <f t="array" ref="AL45">fluidUnitType(AK45)</f>
        <v>Standard Volume Flow</v>
      </c>
    </row>
    <row r="46" spans="37:38" x14ac:dyDescent="0.25">
      <c r="AK46" t="s">
        <v>61</v>
      </c>
      <c r="AL46" t="str" cm="1">
        <f t="array" ref="AL46">fluidUnitType(AK46)</f>
        <v>Standard Volume Flow</v>
      </c>
    </row>
    <row r="47" spans="37:38" x14ac:dyDescent="0.25">
      <c r="AK47" t="s">
        <v>62</v>
      </c>
      <c r="AL47" t="str" cm="1">
        <f t="array" ref="AL47">fluidUnitType(AK47)</f>
        <v>Standard Volume Flow</v>
      </c>
    </row>
    <row r="48" spans="37:38" x14ac:dyDescent="0.25">
      <c r="AK48" t="s">
        <v>63</v>
      </c>
      <c r="AL48" t="str" cm="1">
        <f t="array" ref="AL48">fluidUnitType(AK48)</f>
        <v>Standard Volume Flow</v>
      </c>
    </row>
    <row r="49" spans="37:38" x14ac:dyDescent="0.25">
      <c r="AK49" t="s">
        <v>64</v>
      </c>
      <c r="AL49" t="str" cm="1">
        <f t="array" ref="AL49">fluidUnitType(AK49)</f>
        <v>Standard Volume Flow</v>
      </c>
    </row>
    <row r="50" spans="37:38" x14ac:dyDescent="0.25">
      <c r="AK50" t="s">
        <v>65</v>
      </c>
      <c r="AL50" t="str" cm="1">
        <f t="array" ref="AL50">fluidUnitType(AK50)</f>
        <v>Standard Volume Flow</v>
      </c>
    </row>
    <row r="51" spans="37:38" x14ac:dyDescent="0.25">
      <c r="AK51" t="s">
        <v>66</v>
      </c>
      <c r="AL51" t="str" cm="1">
        <f t="array" ref="AL51">fluidUnitType(AK51)</f>
        <v>Standard Volume Flow</v>
      </c>
    </row>
    <row r="52" spans="37:38" x14ac:dyDescent="0.25">
      <c r="AK52" t="s">
        <v>67</v>
      </c>
      <c r="AL52" t="str" cm="1">
        <f t="array" ref="AL52">fluidUnitType(AK52)</f>
        <v>Standard Volume Flow</v>
      </c>
    </row>
    <row r="53" spans="37:38" x14ac:dyDescent="0.25">
      <c r="AK53" t="s">
        <v>68</v>
      </c>
      <c r="AL53" t="str" cm="1">
        <f t="array" ref="AL53">fluidUnitType(AK53)</f>
        <v>Standard Volume Flow</v>
      </c>
    </row>
    <row r="54" spans="37:38" x14ac:dyDescent="0.25">
      <c r="AK54" t="s">
        <v>69</v>
      </c>
      <c r="AL54" t="str" cm="1">
        <f t="array" ref="AL54">fluidUnitType(AK54)</f>
        <v>Standard Volume Flow</v>
      </c>
    </row>
    <row r="55" spans="37:38" x14ac:dyDescent="0.25">
      <c r="AK55" t="s">
        <v>95</v>
      </c>
      <c r="AL55" t="str" cm="1">
        <f t="array" ref="AL55">fluidUnitType(AK55)</f>
        <v>Unit Error, floogle not recognized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6D00-E37A-4284-B7F5-890857251866}">
  <sheetPr codeName="Sheet2"/>
  <dimension ref="A1:K21"/>
  <sheetViews>
    <sheetView workbookViewId="0">
      <selection activeCell="J2" sqref="J2:J16"/>
    </sheetView>
  </sheetViews>
  <sheetFormatPr defaultRowHeight="15" x14ac:dyDescent="0.25"/>
  <cols>
    <col min="1" max="1" width="15.28515625" bestFit="1" customWidth="1"/>
    <col min="2" max="2" width="69.28515625" bestFit="1" customWidth="1"/>
    <col min="5" max="5" width="10" customWidth="1"/>
    <col min="7" max="7" width="12.7109375" bestFit="1" customWidth="1"/>
    <col min="8" max="8" width="10.28515625" bestFit="1" customWidth="1"/>
    <col min="10" max="10" width="26.5703125" bestFit="1" customWidth="1"/>
  </cols>
  <sheetData>
    <row r="1" spans="1:11" x14ac:dyDescent="0.25">
      <c r="A1" t="s">
        <v>89</v>
      </c>
      <c r="D1" t="s">
        <v>90</v>
      </c>
      <c r="G1" t="s">
        <v>91</v>
      </c>
      <c r="J1" t="s">
        <v>92</v>
      </c>
    </row>
    <row r="2" spans="1:11" x14ac:dyDescent="0.25">
      <c r="A2" t="s">
        <v>41</v>
      </c>
      <c r="B2" t="str">
        <f>""""&amp;A2&amp;""","</f>
        <v>"kg/s",</v>
      </c>
      <c r="D2" t="s">
        <v>29</v>
      </c>
      <c r="E2" t="str">
        <f>""""&amp;D2&amp;""","</f>
        <v>"ccs",</v>
      </c>
      <c r="G2" t="s">
        <v>30</v>
      </c>
      <c r="H2" t="str">
        <f>""""&amp;G2&amp;""","</f>
        <v>"kg/m3",</v>
      </c>
      <c r="J2" t="s">
        <v>55</v>
      </c>
      <c r="K2" t="str">
        <f>""""&amp;J2&amp;""","</f>
        <v>"scms",</v>
      </c>
    </row>
    <row r="3" spans="1:11" x14ac:dyDescent="0.25">
      <c r="A3" t="s">
        <v>41</v>
      </c>
      <c r="B3" t="str">
        <f t="shared" ref="B3:B11" si="0">""""&amp;A3&amp;""","</f>
        <v>"kg/s",</v>
      </c>
      <c r="D3" t="s">
        <v>10</v>
      </c>
      <c r="E3" t="str">
        <f t="shared" ref="E3:E20" si="1">""""&amp;D3&amp;""","</f>
        <v>"m3/s",</v>
      </c>
      <c r="G3" t="s">
        <v>30</v>
      </c>
      <c r="H3" t="str">
        <f t="shared" ref="H3:H10" si="2">""""&amp;G3&amp;""","</f>
        <v>"kg/m3",</v>
      </c>
      <c r="J3" t="s">
        <v>56</v>
      </c>
      <c r="K3" t="str">
        <f t="shared" ref="K3:K16" si="3">""""&amp;J3&amp;""","</f>
        <v>"scmm",</v>
      </c>
    </row>
    <row r="4" spans="1:11" x14ac:dyDescent="0.25">
      <c r="A4" t="s">
        <v>42</v>
      </c>
      <c r="B4" t="str">
        <f t="shared" si="0"/>
        <v>"kg/m",</v>
      </c>
      <c r="D4" t="s">
        <v>11</v>
      </c>
      <c r="E4" t="str">
        <f t="shared" si="1"/>
        <v>"m3/m",</v>
      </c>
      <c r="G4" t="s">
        <v>31</v>
      </c>
      <c r="H4" t="str">
        <f t="shared" si="2"/>
        <v>"kg/cm3",</v>
      </c>
      <c r="J4" t="s">
        <v>57</v>
      </c>
      <c r="K4" t="str">
        <f t="shared" si="3"/>
        <v>"scmh",</v>
      </c>
    </row>
    <row r="5" spans="1:11" x14ac:dyDescent="0.25">
      <c r="A5" t="s">
        <v>43</v>
      </c>
      <c r="B5" t="str">
        <f t="shared" si="0"/>
        <v>"kg/hr",</v>
      </c>
      <c r="D5" t="s">
        <v>12</v>
      </c>
      <c r="E5" t="str">
        <f t="shared" si="1"/>
        <v>"m3/hr",</v>
      </c>
      <c r="G5" t="s">
        <v>32</v>
      </c>
      <c r="H5" t="str">
        <f t="shared" si="2"/>
        <v>"kg/L",</v>
      </c>
      <c r="J5" t="s">
        <v>58</v>
      </c>
      <c r="K5" t="str">
        <f t="shared" si="3"/>
        <v>"slps",</v>
      </c>
    </row>
    <row r="6" spans="1:11" x14ac:dyDescent="0.25">
      <c r="A6" t="s">
        <v>44</v>
      </c>
      <c r="B6" t="str">
        <f t="shared" si="0"/>
        <v>"g/s",</v>
      </c>
      <c r="D6" t="s">
        <v>13</v>
      </c>
      <c r="E6" t="str">
        <f t="shared" si="1"/>
        <v>"cm3/s",</v>
      </c>
      <c r="G6" t="s">
        <v>33</v>
      </c>
      <c r="H6" t="str">
        <f t="shared" si="2"/>
        <v>"g/m3",</v>
      </c>
      <c r="J6" t="s">
        <v>59</v>
      </c>
      <c r="K6" t="str">
        <f t="shared" si="3"/>
        <v>"slpm",</v>
      </c>
    </row>
    <row r="7" spans="1:11" x14ac:dyDescent="0.25">
      <c r="A7" t="s">
        <v>45</v>
      </c>
      <c r="B7" t="str">
        <f t="shared" si="0"/>
        <v>"g/m",</v>
      </c>
      <c r="D7" t="s">
        <v>14</v>
      </c>
      <c r="E7" t="str">
        <f t="shared" si="1"/>
        <v>"cm3/m",</v>
      </c>
      <c r="G7" t="s">
        <v>34</v>
      </c>
      <c r="H7" t="str">
        <f t="shared" si="2"/>
        <v>"g/L",</v>
      </c>
      <c r="J7" t="s">
        <v>60</v>
      </c>
      <c r="K7" t="str">
        <f t="shared" si="3"/>
        <v>"slph",</v>
      </c>
    </row>
    <row r="8" spans="1:11" x14ac:dyDescent="0.25">
      <c r="A8" t="s">
        <v>46</v>
      </c>
      <c r="B8" t="str">
        <f t="shared" si="0"/>
        <v>"g/hr",</v>
      </c>
      <c r="D8" t="s">
        <v>15</v>
      </c>
      <c r="E8" t="str">
        <f t="shared" si="1"/>
        <v>"cm3/hr",</v>
      </c>
      <c r="G8" t="s">
        <v>35</v>
      </c>
      <c r="H8" t="str">
        <f t="shared" si="2"/>
        <v>"lbm/in3",</v>
      </c>
      <c r="J8" t="s">
        <v>61</v>
      </c>
      <c r="K8" t="str">
        <f t="shared" si="3"/>
        <v>"sccs",</v>
      </c>
    </row>
    <row r="9" spans="1:11" x14ac:dyDescent="0.25">
      <c r="A9" t="s">
        <v>47</v>
      </c>
      <c r="B9" t="str">
        <f t="shared" si="0"/>
        <v>"lbm/s",</v>
      </c>
      <c r="D9" t="s">
        <v>16</v>
      </c>
      <c r="E9" t="str">
        <f t="shared" si="1"/>
        <v>"L/s",</v>
      </c>
      <c r="G9" t="s">
        <v>36</v>
      </c>
      <c r="H9" t="str">
        <f t="shared" si="2"/>
        <v>"lbm/ft3",</v>
      </c>
      <c r="J9" t="s">
        <v>62</v>
      </c>
      <c r="K9" t="str">
        <f t="shared" si="3"/>
        <v>"sccm",</v>
      </c>
    </row>
    <row r="10" spans="1:11" x14ac:dyDescent="0.25">
      <c r="A10" t="s">
        <v>48</v>
      </c>
      <c r="B10" t="str">
        <f t="shared" si="0"/>
        <v>"lbm/m",</v>
      </c>
      <c r="D10" t="s">
        <v>17</v>
      </c>
      <c r="E10" t="str">
        <f t="shared" si="1"/>
        <v>"L/m",</v>
      </c>
      <c r="G10" t="s">
        <v>37</v>
      </c>
      <c r="H10" t="str">
        <f t="shared" si="2"/>
        <v>"lbm/gal",</v>
      </c>
      <c r="J10" t="s">
        <v>63</v>
      </c>
      <c r="K10" t="str">
        <f t="shared" si="3"/>
        <v>"scch",</v>
      </c>
    </row>
    <row r="11" spans="1:11" x14ac:dyDescent="0.25">
      <c r="A11" t="s">
        <v>49</v>
      </c>
      <c r="B11" t="str">
        <f t="shared" si="0"/>
        <v>"lbm/hr",</v>
      </c>
      <c r="D11" t="s">
        <v>18</v>
      </c>
      <c r="E11" t="str">
        <f t="shared" si="1"/>
        <v>"L/hr",</v>
      </c>
      <c r="G11" t="s">
        <v>93</v>
      </c>
      <c r="H11" t="str">
        <f>"Case "&amp;LEFT(_xlfn.CONCAT(H2:H10),LEN(_xlfn.CONCAT(H2:H10))-1)</f>
        <v>Case "kg/m3","kg/m3","kg/cm3","kg/L","g/m3","g/L","lbm/in3","lbm/ft3","lbm/gal"</v>
      </c>
      <c r="J11" t="s">
        <v>64</v>
      </c>
      <c r="K11" t="str">
        <f t="shared" si="3"/>
        <v>"scfs",</v>
      </c>
    </row>
    <row r="12" spans="1:11" x14ac:dyDescent="0.25">
      <c r="A12" t="s">
        <v>93</v>
      </c>
      <c r="B12" t="str">
        <f>"Case "&amp;LEFT(_xlfn.CONCAT(B2:B11),LEN(_xlfn.CONCAT(B2:B11))-1)</f>
        <v>Case "kg/s","kg/s","kg/m","kg/hr","g/s","g/m","g/hr","lbm/s","lbm/m","lbm/hr"</v>
      </c>
      <c r="D12" t="s">
        <v>19</v>
      </c>
      <c r="E12" t="str">
        <f t="shared" si="1"/>
        <v>"in3/s",</v>
      </c>
      <c r="J12" t="s">
        <v>65</v>
      </c>
      <c r="K12" t="str">
        <f t="shared" si="3"/>
        <v>"scfm",</v>
      </c>
    </row>
    <row r="13" spans="1:11" x14ac:dyDescent="0.25">
      <c r="D13" t="s">
        <v>20</v>
      </c>
      <c r="E13" t="str">
        <f t="shared" si="1"/>
        <v>"in3/m",</v>
      </c>
      <c r="J13" t="s">
        <v>66</v>
      </c>
      <c r="K13" t="str">
        <f t="shared" si="3"/>
        <v>"scfh",</v>
      </c>
    </row>
    <row r="14" spans="1:11" x14ac:dyDescent="0.25">
      <c r="D14" t="s">
        <v>21</v>
      </c>
      <c r="E14" t="str">
        <f t="shared" si="1"/>
        <v>"in3/hr",</v>
      </c>
      <c r="J14" t="s">
        <v>67</v>
      </c>
      <c r="K14" t="str">
        <f t="shared" si="3"/>
        <v>"scis",</v>
      </c>
    </row>
    <row r="15" spans="1:11" x14ac:dyDescent="0.25">
      <c r="D15" t="s">
        <v>22</v>
      </c>
      <c r="E15" t="str">
        <f t="shared" si="1"/>
        <v>"ft3/s",</v>
      </c>
      <c r="J15" t="s">
        <v>68</v>
      </c>
      <c r="K15" t="str">
        <f t="shared" si="3"/>
        <v>"scim",</v>
      </c>
    </row>
    <row r="16" spans="1:11" x14ac:dyDescent="0.25">
      <c r="D16" t="s">
        <v>23</v>
      </c>
      <c r="E16" t="str">
        <f t="shared" si="1"/>
        <v>"ft3/m",</v>
      </c>
      <c r="J16" t="s">
        <v>69</v>
      </c>
      <c r="K16" t="str">
        <f t="shared" si="3"/>
        <v>"scih",</v>
      </c>
    </row>
    <row r="17" spans="4:11" x14ac:dyDescent="0.25">
      <c r="D17" t="s">
        <v>24</v>
      </c>
      <c r="E17" t="str">
        <f t="shared" si="1"/>
        <v>"ft3/hr",</v>
      </c>
      <c r="J17" t="s">
        <v>93</v>
      </c>
      <c r="K17" t="str">
        <f>"Case "&amp;LEFT(_xlfn.CONCAT(K2:K16),LEN(_xlfn.CONCAT(K2:K16))-1)</f>
        <v>Case "scms","scmm","scmh","slps","slpm","slph","sccs","sccm","scch","scfs","scfm","scfh","scis","scim","scih"</v>
      </c>
    </row>
    <row r="18" spans="4:11" x14ac:dyDescent="0.25">
      <c r="D18" t="s">
        <v>25</v>
      </c>
      <c r="E18" t="str">
        <f t="shared" si="1"/>
        <v>"gal/s",</v>
      </c>
    </row>
    <row r="19" spans="4:11" x14ac:dyDescent="0.25">
      <c r="D19" t="s">
        <v>26</v>
      </c>
      <c r="E19" t="str">
        <f t="shared" si="1"/>
        <v>"gal/m",</v>
      </c>
    </row>
    <row r="20" spans="4:11" x14ac:dyDescent="0.25">
      <c r="D20" t="s">
        <v>27</v>
      </c>
      <c r="E20" t="str">
        <f t="shared" si="1"/>
        <v>"gal/hr",</v>
      </c>
    </row>
    <row r="21" spans="4:11" x14ac:dyDescent="0.25">
      <c r="D21" t="s">
        <v>93</v>
      </c>
      <c r="E21" t="str">
        <f>"Case "&amp;LEFT(_xlfn.CONCAT(E2:E20),LEN(_xlfn.CONCAT(E2:E20))-1)</f>
        <v>Case "ccs","m3/s","m3/m","m3/hr","cm3/s","cm3/m","cm3/hr","L/s","L/m","L/hr","in3/s","in3/m","in3/hr","ft3/s","ft3/m","ft3/hr","gal/s","gal/m","gal/hr"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2022-08-19T02:16:22Z</dcterms:created>
  <dcterms:modified xsi:type="dcterms:W3CDTF">2023-05-02T02:48:21Z</dcterms:modified>
</cp:coreProperties>
</file>