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eorge\Documents\trunk\Projects\Design Dools\Design-Dools\"/>
    </mc:Choice>
  </mc:AlternateContent>
  <xr:revisionPtr revIDLastSave="0" documentId="13_ncr:1_{B26B1F92-0801-4884-AE3B-2E5D72871EF1}" xr6:coauthVersionLast="47" xr6:coauthVersionMax="47" xr10:uidLastSave="{00000000-0000-0000-0000-000000000000}"/>
  <bookViews>
    <workbookView xWindow="-120" yWindow="-120" windowWidth="38640" windowHeight="21240" xr2:uid="{1C68F3C9-BACF-4AE3-9327-A04E9D6F2DE9}"/>
  </bookViews>
  <sheets>
    <sheet name="No-Dependencies" sheetId="1" r:id="rId1"/>
    <sheet name="Unit Lists" sheetId="2" r:id="rId2"/>
    <sheet name="Cool-Prop-Dependent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Y48" i="2" l="1"/>
  <c r="AY50" i="2" s="1"/>
  <c r="AY46" i="2"/>
  <c r="AY45" i="2"/>
  <c r="AY30" i="2"/>
  <c r="AY32" i="2" s="1"/>
  <c r="AY29" i="2"/>
  <c r="AY31" i="2" s="1"/>
  <c r="AY28" i="2"/>
  <c r="AY27" i="2"/>
  <c r="AW53" i="2"/>
  <c r="AW54" i="2"/>
  <c r="AW55" i="2"/>
  <c r="AW56" i="2"/>
  <c r="AW57" i="2"/>
  <c r="AW58" i="2"/>
  <c r="AW59" i="2"/>
  <c r="AW52" i="2"/>
  <c r="AW50" i="2"/>
  <c r="AW49" i="2"/>
  <c r="AW48" i="2"/>
  <c r="AW44" i="2"/>
  <c r="AW45" i="2"/>
  <c r="AW46" i="2"/>
  <c r="AW47" i="2"/>
  <c r="AW43" i="2"/>
  <c r="AW41" i="2"/>
  <c r="AW35" i="2"/>
  <c r="AW36" i="2"/>
  <c r="AW37" i="2"/>
  <c r="AW38" i="2"/>
  <c r="AW39" i="2"/>
  <c r="AW40" i="2"/>
  <c r="AW34" i="2"/>
  <c r="AW26" i="2"/>
  <c r="AW27" i="2"/>
  <c r="AW28" i="2"/>
  <c r="AW29" i="2"/>
  <c r="AW30" i="2"/>
  <c r="AW31" i="2"/>
  <c r="AW32" i="2"/>
  <c r="AW25" i="2"/>
  <c r="AJ53" i="2"/>
  <c r="AJ54" i="2"/>
  <c r="AJ55" i="2"/>
  <c r="AJ56" i="2"/>
  <c r="AJ57" i="2"/>
  <c r="AJ58" i="2"/>
  <c r="AJ59" i="2"/>
  <c r="AJ52" i="2"/>
  <c r="AK47" i="2"/>
  <c r="AK49" i="2" s="1"/>
  <c r="AK46" i="2"/>
  <c r="AK48" i="2" s="1"/>
  <c r="AK45" i="2"/>
  <c r="AK44" i="2"/>
  <c r="AK30" i="2"/>
  <c r="AK29" i="2"/>
  <c r="AK31" i="2" s="1"/>
  <c r="AK28" i="2"/>
  <c r="AK27" i="2"/>
  <c r="AJ44" i="2"/>
  <c r="AJ45" i="2"/>
  <c r="AJ46" i="2"/>
  <c r="AJ47" i="2"/>
  <c r="AJ48" i="2"/>
  <c r="AJ49" i="2"/>
  <c r="AJ50" i="2"/>
  <c r="AJ43" i="2"/>
  <c r="AJ41" i="2"/>
  <c r="AJ35" i="2"/>
  <c r="AJ36" i="2"/>
  <c r="AJ37" i="2"/>
  <c r="AJ38" i="2"/>
  <c r="AJ39" i="2"/>
  <c r="AJ40" i="2"/>
  <c r="AJ34" i="2"/>
  <c r="AG26" i="2"/>
  <c r="AQ45" i="2"/>
  <c r="AQ47" i="2" s="1"/>
  <c r="AQ44" i="2"/>
  <c r="AQ46" i="2" s="1"/>
  <c r="AQ28" i="2"/>
  <c r="AQ30" i="2" s="1"/>
  <c r="AQ32" i="2" s="1"/>
  <c r="AQ34" i="2" s="1"/>
  <c r="AQ36" i="2" s="1"/>
  <c r="AQ38" i="2" s="1"/>
  <c r="AQ40" i="2" s="1"/>
  <c r="AQ27" i="2"/>
  <c r="AQ29" i="2" s="1"/>
  <c r="AQ31" i="2" s="1"/>
  <c r="AQ33" i="2" s="1"/>
  <c r="AQ35" i="2" s="1"/>
  <c r="AQ37" i="2" s="1"/>
  <c r="AQ39" i="2" s="1"/>
  <c r="AN59" i="2"/>
  <c r="AN53" i="2"/>
  <c r="AN54" i="2"/>
  <c r="AN55" i="2"/>
  <c r="AN56" i="2"/>
  <c r="AN57" i="2"/>
  <c r="AN58" i="2"/>
  <c r="AN52" i="2"/>
  <c r="AN44" i="2"/>
  <c r="AN45" i="2"/>
  <c r="AN46" i="2"/>
  <c r="AN47" i="2"/>
  <c r="AN48" i="2"/>
  <c r="AN49" i="2"/>
  <c r="AN50" i="2"/>
  <c r="AN43" i="2"/>
  <c r="AN13" i="2"/>
  <c r="AN11" i="2"/>
  <c r="AN10" i="2"/>
  <c r="AN12" i="2"/>
  <c r="AQ3" i="2"/>
  <c r="AQ4" i="2"/>
  <c r="AQ5" i="2"/>
  <c r="AQ6" i="2"/>
  <c r="AQ7" i="2"/>
  <c r="AQ8" i="2"/>
  <c r="AQ9" i="2"/>
  <c r="AQ10" i="2"/>
  <c r="AQ11" i="2"/>
  <c r="AQ12" i="2"/>
  <c r="AQ13" i="2"/>
  <c r="AQ14" i="2"/>
  <c r="AQ15" i="2"/>
  <c r="AQ16" i="2"/>
  <c r="AQ17" i="2"/>
  <c r="AN3" i="2"/>
  <c r="AN4" i="2"/>
  <c r="AN5" i="2"/>
  <c r="AN6" i="2"/>
  <c r="AN7" i="2"/>
  <c r="AN30" i="2" s="1"/>
  <c r="AN39" i="2" s="1"/>
  <c r="AN8" i="2"/>
  <c r="AN9" i="2"/>
  <c r="AN32" i="2" s="1"/>
  <c r="AN41" i="2" s="1"/>
  <c r="AN14" i="2"/>
  <c r="AN15" i="2"/>
  <c r="AN16" i="2"/>
  <c r="AN17" i="2"/>
  <c r="AN18" i="2"/>
  <c r="AN19" i="2"/>
  <c r="AN20" i="2"/>
  <c r="AN21" i="2"/>
  <c r="AQ2" i="2"/>
  <c r="AQ18" i="2" s="1"/>
  <c r="AN2" i="2"/>
  <c r="AK3" i="2"/>
  <c r="AJ26" i="2" s="1"/>
  <c r="AK4" i="2"/>
  <c r="AJ27" i="2" s="1"/>
  <c r="AK5" i="2"/>
  <c r="AJ28" i="2" s="1"/>
  <c r="AK6" i="2"/>
  <c r="AK7" i="2"/>
  <c r="AK8" i="2"/>
  <c r="AK9" i="2"/>
  <c r="AK10" i="2"/>
  <c r="AK11" i="2"/>
  <c r="AK12" i="2"/>
  <c r="AK13" i="2"/>
  <c r="AK14" i="2"/>
  <c r="AK15" i="2"/>
  <c r="AK16" i="2"/>
  <c r="AK17" i="2"/>
  <c r="AK2" i="2"/>
  <c r="BM4" i="1" a="1"/>
  <c r="BM10" i="1" a="1"/>
  <c r="BM16" i="1" a="1"/>
  <c r="BM13" i="1" a="1"/>
  <c r="BM5" i="1" a="1"/>
  <c r="BM11" i="1" a="1"/>
  <c r="BM17" i="1" a="1"/>
  <c r="BM18" i="1" a="1"/>
  <c r="BM7" i="1" a="1"/>
  <c r="BM8" i="1" a="1"/>
  <c r="BM6" i="1" a="1"/>
  <c r="BM12" i="1" a="1"/>
  <c r="BM19" i="1" a="1"/>
  <c r="BM14" i="1" a="1"/>
  <c r="BM9" i="1" a="1"/>
  <c r="BM15" i="1" a="1"/>
  <c r="BM3" i="1" a="1"/>
  <c r="D8" i="3" a="1"/>
  <c r="BI4" i="1" a="1"/>
  <c r="BI10" i="1" a="1"/>
  <c r="BI16" i="1" a="1"/>
  <c r="BI22" i="1" a="1"/>
  <c r="BI20" i="1" a="1"/>
  <c r="BI15" i="1" a="1"/>
  <c r="BI12" i="1" a="1"/>
  <c r="BI5" i="1" a="1"/>
  <c r="BI11" i="1" a="1"/>
  <c r="BI17" i="1" a="1"/>
  <c r="BI18" i="1" a="1"/>
  <c r="BI7" i="1" a="1"/>
  <c r="BI8" i="1" a="1"/>
  <c r="BI13" i="1" a="1"/>
  <c r="BI6" i="1" a="1"/>
  <c r="BI19" i="1" a="1"/>
  <c r="BI9" i="1" a="1"/>
  <c r="BI21" i="1" a="1"/>
  <c r="BI14" i="1" a="1"/>
  <c r="BI3" i="1" a="1"/>
  <c r="BE4" i="1" a="1"/>
  <c r="BE10" i="1" a="1"/>
  <c r="BE16" i="1" a="1"/>
  <c r="BE11" i="1" a="1"/>
  <c r="BE17" i="1" a="1"/>
  <c r="BE12" i="1" a="1"/>
  <c r="BE18" i="1" a="1"/>
  <c r="BE13" i="1" a="1"/>
  <c r="BE5" i="1" a="1"/>
  <c r="BE15" i="1" a="1"/>
  <c r="BE8" i="1" a="1"/>
  <c r="BE7" i="1" a="1"/>
  <c r="BE6" i="1" a="1"/>
  <c r="BE14" i="1" a="1"/>
  <c r="BE9" i="1" a="1"/>
  <c r="BE3" i="1" a="1"/>
  <c r="AZ44" i="2" a="1"/>
  <c r="AZ50" i="2" a="1"/>
  <c r="AZ56" i="2" a="1"/>
  <c r="AZ58" i="2" a="1"/>
  <c r="AZ55" i="2" a="1"/>
  <c r="AZ52" i="2" a="1"/>
  <c r="AZ45" i="2" a="1"/>
  <c r="AZ51" i="2" a="1"/>
  <c r="AZ57" i="2" a="1"/>
  <c r="AZ53" i="2" a="1"/>
  <c r="AZ46" i="2" a="1"/>
  <c r="AZ47" i="2" a="1"/>
  <c r="AZ54" i="2" a="1"/>
  <c r="AZ49" i="2" a="1"/>
  <c r="AZ48" i="2" a="1"/>
  <c r="AZ43" i="2" a="1"/>
  <c r="AZ26" i="2" a="1"/>
  <c r="AZ32" i="2" a="1"/>
  <c r="AZ33" i="2" a="1"/>
  <c r="AZ35" i="2" a="1"/>
  <c r="AZ36" i="2" a="1"/>
  <c r="AZ37" i="2" a="1"/>
  <c r="AZ27" i="2" a="1"/>
  <c r="AZ39" i="2" a="1"/>
  <c r="AZ38" i="2" a="1"/>
  <c r="AZ28" i="2" a="1"/>
  <c r="AZ34" i="2" a="1"/>
  <c r="AZ40" i="2" a="1"/>
  <c r="AZ29" i="2" a="1"/>
  <c r="AZ30" i="2" a="1"/>
  <c r="AZ31" i="2" a="1"/>
  <c r="AZ25" i="2" a="1"/>
  <c r="AL43" i="2" a="1"/>
  <c r="AL49" i="2" a="1"/>
  <c r="AL55" i="2" a="1"/>
  <c r="AL57" i="2" a="1"/>
  <c r="AL47" i="2" a="1"/>
  <c r="AL54" i="2" a="1"/>
  <c r="AL44" i="2" a="1"/>
  <c r="AL50" i="2" a="1"/>
  <c r="AL56" i="2" a="1"/>
  <c r="AL45" i="2" a="1"/>
  <c r="AL52" i="2" a="1"/>
  <c r="AL51" i="2" a="1"/>
  <c r="AL46" i="2" a="1"/>
  <c r="AL53" i="2" a="1"/>
  <c r="AL48" i="2" a="1"/>
  <c r="AL42" i="2" a="1"/>
  <c r="AL26" i="2" a="1"/>
  <c r="AL32" i="2" a="1"/>
  <c r="AL33" i="2" a="1"/>
  <c r="AL39" i="2" a="1"/>
  <c r="AL30" i="2" a="1"/>
  <c r="AL27" i="2" a="1"/>
  <c r="AL28" i="2" a="1"/>
  <c r="AL34" i="2" a="1"/>
  <c r="AL40" i="2" a="1"/>
  <c r="AL35" i="2" a="1"/>
  <c r="AL36" i="2" a="1"/>
  <c r="AL37" i="2" a="1"/>
  <c r="AL29" i="2" a="1"/>
  <c r="AL31" i="2" a="1"/>
  <c r="AL38" i="2" a="1"/>
  <c r="AL25" i="2" a="1"/>
  <c r="AR47" i="2" a="1"/>
  <c r="AR45" i="2" a="1"/>
  <c r="AR43" i="2" a="1"/>
  <c r="AR39" i="2" a="1"/>
  <c r="AR40" i="2" a="1"/>
  <c r="AR35" i="2" a="1"/>
  <c r="AR36" i="2" a="1"/>
  <c r="AR32" i="2" a="1"/>
  <c r="AR28" i="2" a="1"/>
  <c r="AR34" i="2" a="1"/>
  <c r="AR30" i="2" a="1"/>
  <c r="AR38" i="2" a="1"/>
  <c r="AR26" i="2" a="1"/>
  <c r="B8" i="3" a="1"/>
  <c r="D2" i="3" a="1"/>
  <c r="D5" i="3" a="1"/>
  <c r="AW6" i="1" a="1"/>
  <c r="AW9" i="1" a="1"/>
  <c r="AW11" i="1" a="1"/>
  <c r="AW7" i="1" a="1"/>
  <c r="AW8" i="1" a="1"/>
  <c r="AW10" i="1" a="1"/>
  <c r="AW5" i="1" a="1"/>
  <c r="AW4" i="1" a="1"/>
  <c r="BA5" i="1" a="1"/>
  <c r="BA11" i="1" a="1"/>
  <c r="BA17" i="1" a="1"/>
  <c r="BA15" i="1" a="1"/>
  <c r="BA16" i="1" a="1"/>
  <c r="BA6" i="1" a="1"/>
  <c r="BA18" i="1" a="1"/>
  <c r="BA7" i="1" a="1"/>
  <c r="BA13" i="1" a="1"/>
  <c r="BA8" i="1" a="1"/>
  <c r="BA14" i="1" a="1"/>
  <c r="BA9" i="1" a="1"/>
  <c r="BA12" i="1" a="1"/>
  <c r="BA10" i="1" a="1"/>
  <c r="BA4" i="1" a="1"/>
  <c r="S18" i="1" a="1"/>
  <c r="S5" i="1" a="1"/>
  <c r="S13" i="1" a="1"/>
  <c r="S19" i="1" a="1"/>
  <c r="AE2" i="1" a="1"/>
  <c r="S8" i="1" a="1"/>
  <c r="T25" i="1" a="1"/>
  <c r="T24" i="1" a="1"/>
  <c r="Y8" i="1" a="1"/>
  <c r="S9" i="1" a="1"/>
  <c r="Y9" i="1" a="1"/>
  <c r="S10" i="1" a="1"/>
  <c r="S16" i="1" a="1"/>
  <c r="Y6" i="1" a="1"/>
  <c r="S7" i="1" a="1"/>
  <c r="Y7" i="1" a="1"/>
  <c r="AO5" i="1" a="1"/>
  <c r="D7" i="3" a="1"/>
  <c r="Y11" i="1" a="1"/>
  <c r="S6" i="1" a="1"/>
  <c r="S11" i="1" a="1"/>
  <c r="S17" i="1" a="1"/>
  <c r="S14" i="1" a="1"/>
  <c r="S12" i="1" a="1"/>
  <c r="S15" i="1" a="1"/>
  <c r="Y10" i="1" a="1"/>
  <c r="BM15" i="1" l="1"/>
  <c r="BM9" i="1"/>
  <c r="BM14" i="1"/>
  <c r="BM19" i="1"/>
  <c r="BM12" i="1"/>
  <c r="BM6" i="1"/>
  <c r="BM8" i="1"/>
  <c r="BM7" i="1"/>
  <c r="BM18" i="1"/>
  <c r="BM17" i="1"/>
  <c r="BM11" i="1"/>
  <c r="BM5" i="1"/>
  <c r="BM13" i="1"/>
  <c r="BM16" i="1"/>
  <c r="BM10" i="1"/>
  <c r="BM4" i="1"/>
  <c r="BM3" i="1"/>
  <c r="D8" i="3"/>
  <c r="BI14" i="1"/>
  <c r="BI21" i="1"/>
  <c r="BI9" i="1"/>
  <c r="BI19" i="1"/>
  <c r="BI6" i="1"/>
  <c r="BI13" i="1"/>
  <c r="BI8" i="1"/>
  <c r="BI7" i="1"/>
  <c r="BI18" i="1"/>
  <c r="BI17" i="1"/>
  <c r="BI11" i="1"/>
  <c r="BI5" i="1"/>
  <c r="BI12" i="1"/>
  <c r="BI15" i="1"/>
  <c r="BI20" i="1"/>
  <c r="BI22" i="1"/>
  <c r="BI16" i="1"/>
  <c r="BI10" i="1"/>
  <c r="BI4" i="1"/>
  <c r="BI3" i="1"/>
  <c r="BE9" i="1"/>
  <c r="BE14" i="1"/>
  <c r="BE6" i="1"/>
  <c r="BE7" i="1"/>
  <c r="BE8" i="1"/>
  <c r="BE15" i="1"/>
  <c r="BE5" i="1"/>
  <c r="BE13" i="1"/>
  <c r="BE18" i="1"/>
  <c r="BE12" i="1"/>
  <c r="BE17" i="1"/>
  <c r="BE11" i="1"/>
  <c r="BE16" i="1"/>
  <c r="BE10" i="1"/>
  <c r="BE4" i="1"/>
  <c r="BE3" i="1"/>
  <c r="AZ48" i="2"/>
  <c r="AZ49" i="2"/>
  <c r="AZ54" i="2"/>
  <c r="AZ47" i="2"/>
  <c r="AZ46" i="2"/>
  <c r="AZ53" i="2"/>
  <c r="AZ57" i="2"/>
  <c r="AZ51" i="2"/>
  <c r="AZ45" i="2"/>
  <c r="AZ52" i="2"/>
  <c r="AZ55" i="2"/>
  <c r="AZ58" i="2"/>
  <c r="AZ56" i="2"/>
  <c r="AZ50" i="2"/>
  <c r="AZ44" i="2"/>
  <c r="AZ43" i="2"/>
  <c r="AY52" i="2"/>
  <c r="AY47" i="2"/>
  <c r="AZ31" i="2"/>
  <c r="AZ30" i="2"/>
  <c r="AZ29" i="2"/>
  <c r="AZ40" i="2"/>
  <c r="AZ34" i="2"/>
  <c r="AZ28" i="2"/>
  <c r="AZ38" i="2"/>
  <c r="AZ39" i="2"/>
  <c r="AZ27" i="2"/>
  <c r="AZ37" i="2"/>
  <c r="AZ36" i="2"/>
  <c r="AZ35" i="2"/>
  <c r="AZ33" i="2"/>
  <c r="AZ32" i="2"/>
  <c r="AZ26" i="2"/>
  <c r="AZ25" i="2"/>
  <c r="AY33" i="2"/>
  <c r="AY34" i="2"/>
  <c r="AL48" i="2"/>
  <c r="AL53" i="2"/>
  <c r="AL46" i="2"/>
  <c r="AL51" i="2"/>
  <c r="AL52" i="2"/>
  <c r="AL45" i="2"/>
  <c r="AL56" i="2"/>
  <c r="AL50" i="2"/>
  <c r="AL44" i="2"/>
  <c r="AL54" i="2"/>
  <c r="AL47" i="2"/>
  <c r="AL57" i="2"/>
  <c r="AL55" i="2"/>
  <c r="AL49" i="2"/>
  <c r="AL43" i="2"/>
  <c r="AL42" i="2"/>
  <c r="AK50" i="2"/>
  <c r="AK51" i="2"/>
  <c r="AL38" i="2"/>
  <c r="AL31" i="2"/>
  <c r="AL29" i="2"/>
  <c r="AL37" i="2"/>
  <c r="AL36" i="2"/>
  <c r="AL35" i="2"/>
  <c r="AL40" i="2"/>
  <c r="AL34" i="2"/>
  <c r="AL28" i="2"/>
  <c r="AL27" i="2"/>
  <c r="AL30" i="2"/>
  <c r="AL39" i="2"/>
  <c r="AL33" i="2"/>
  <c r="AL32" i="2"/>
  <c r="AL26" i="2"/>
  <c r="AL25" i="2"/>
  <c r="AK33" i="2"/>
  <c r="AK32" i="2"/>
  <c r="AN25" i="2"/>
  <c r="AN34" i="2" s="1"/>
  <c r="AJ32" i="2"/>
  <c r="AJ31" i="2"/>
  <c r="AJ30" i="2"/>
  <c r="AK18" i="2"/>
  <c r="AJ29" i="2"/>
  <c r="AJ25" i="2"/>
  <c r="AN31" i="2"/>
  <c r="AN40" i="2" s="1"/>
  <c r="AN29" i="2"/>
  <c r="AN38" i="2" s="1"/>
  <c r="AN28" i="2"/>
  <c r="AN37" i="2" s="1"/>
  <c r="AN27" i="2"/>
  <c r="AN36" i="2" s="1"/>
  <c r="AN26" i="2"/>
  <c r="AN35" i="2" s="1"/>
  <c r="AR47" i="2"/>
  <c r="AQ49" i="2"/>
  <c r="AQ48" i="2"/>
  <c r="AR45" i="2"/>
  <c r="AR43" i="2"/>
  <c r="AR40" i="2"/>
  <c r="AR39" i="2"/>
  <c r="AR38" i="2"/>
  <c r="AR30" i="2"/>
  <c r="AR34" i="2"/>
  <c r="AR28" i="2"/>
  <c r="AR32" i="2"/>
  <c r="AR36" i="2"/>
  <c r="AR35" i="2"/>
  <c r="AR26" i="2"/>
  <c r="AN22" i="2"/>
  <c r="B8" i="3"/>
  <c r="D2" i="3"/>
  <c r="D5" i="3"/>
  <c r="AW5" i="1"/>
  <c r="AW10" i="1"/>
  <c r="AW8" i="1"/>
  <c r="AW7" i="1"/>
  <c r="AW11" i="1"/>
  <c r="AW9" i="1"/>
  <c r="AW6" i="1"/>
  <c r="AW4" i="1"/>
  <c r="BA10" i="1"/>
  <c r="BA12" i="1"/>
  <c r="BA9" i="1"/>
  <c r="BA14" i="1"/>
  <c r="BA8" i="1"/>
  <c r="BA13" i="1"/>
  <c r="BA7" i="1"/>
  <c r="BA18" i="1"/>
  <c r="BA6" i="1"/>
  <c r="BA16" i="1"/>
  <c r="BA15" i="1"/>
  <c r="BA17" i="1"/>
  <c r="BA11" i="1"/>
  <c r="BA5" i="1"/>
  <c r="BA4" i="1"/>
  <c r="AO5" i="1"/>
  <c r="AE2" i="1"/>
  <c r="Y11" i="1"/>
  <c r="Y10" i="1"/>
  <c r="Y9" i="1"/>
  <c r="Y8" i="1"/>
  <c r="Y7" i="1"/>
  <c r="Y6" i="1"/>
  <c r="S11" i="1"/>
  <c r="S7" i="1"/>
  <c r="S15" i="1"/>
  <c r="S17" i="1"/>
  <c r="S16" i="1"/>
  <c r="S10" i="1"/>
  <c r="S9" i="1"/>
  <c r="S14" i="1"/>
  <c r="S8" i="1"/>
  <c r="S19" i="1"/>
  <c r="S13" i="1"/>
  <c r="S18" i="1"/>
  <c r="S12" i="1"/>
  <c r="S6" i="1"/>
  <c r="S5" i="1"/>
  <c r="T25" i="1"/>
  <c r="T24" i="1"/>
  <c r="D7" i="3"/>
  <c r="D12" i="3" a="1"/>
  <c r="AR25" i="2" a="1"/>
  <c r="AR42" i="2" a="1"/>
  <c r="AR33" i="2" a="1"/>
  <c r="AR27" i="2" a="1"/>
  <c r="AR44" i="2" a="1"/>
  <c r="AR37" i="2" a="1"/>
  <c r="AR29" i="2" a="1"/>
  <c r="AR46" i="2" a="1"/>
  <c r="AR31" i="2" a="1"/>
  <c r="AR48" i="2" a="1"/>
  <c r="AR49" i="2" a="1"/>
  <c r="S26" i="1" a="1"/>
  <c r="S31" i="1" a="1"/>
  <c r="S32" i="1" a="1"/>
  <c r="S28" i="1" a="1"/>
  <c r="S30" i="1" a="1"/>
  <c r="S38" i="1" a="1"/>
  <c r="S37" i="1" a="1"/>
  <c r="S36" i="1" a="1"/>
  <c r="S35" i="1" a="1"/>
  <c r="S29" i="1" a="1"/>
  <c r="S40" i="1" a="1"/>
  <c r="S34" i="1" a="1"/>
  <c r="S39" i="1" a="1"/>
  <c r="S33" i="1" a="1"/>
  <c r="S27" i="1" a="1"/>
  <c r="D6" i="3" a="1"/>
  <c r="U5" i="1" a="1"/>
  <c r="D12" i="3" l="1"/>
  <c r="AY54" i="2"/>
  <c r="AY49" i="2"/>
  <c r="AY36" i="2"/>
  <c r="AY35" i="2"/>
  <c r="AK53" i="2"/>
  <c r="AK52" i="2"/>
  <c r="AK34" i="2"/>
  <c r="AK35" i="2"/>
  <c r="AR42" i="2"/>
  <c r="AR25" i="2"/>
  <c r="AR31" i="2"/>
  <c r="AR46" i="2"/>
  <c r="AR29" i="2"/>
  <c r="AR37" i="2"/>
  <c r="AR44" i="2"/>
  <c r="AR27" i="2"/>
  <c r="AR33" i="2"/>
  <c r="AR49" i="2"/>
  <c r="AR48" i="2"/>
  <c r="AQ51" i="2"/>
  <c r="AQ50" i="2"/>
  <c r="S27" i="1"/>
  <c r="S33" i="1"/>
  <c r="S39" i="1"/>
  <c r="S34" i="1"/>
  <c r="S40" i="1"/>
  <c r="S29" i="1"/>
  <c r="S35" i="1"/>
  <c r="S36" i="1"/>
  <c r="S37" i="1"/>
  <c r="S38" i="1"/>
  <c r="S30" i="1"/>
  <c r="S28" i="1"/>
  <c r="S32" i="1"/>
  <c r="S31" i="1"/>
  <c r="S26" i="1"/>
  <c r="U5" i="1"/>
  <c r="D6" i="3"/>
  <c r="AR51" i="2" a="1"/>
  <c r="AR50" i="2" a="1"/>
  <c r="D11" i="3" a="1"/>
  <c r="D9" i="3" a="1"/>
  <c r="U27" i="1" a="1"/>
  <c r="U38" i="1" a="1"/>
  <c r="U35" i="1" a="1"/>
  <c r="U34" i="1" a="1"/>
  <c r="U32" i="1" a="1"/>
  <c r="U28" i="1" a="1"/>
  <c r="U33" i="1" a="1"/>
  <c r="U29" i="1" a="1"/>
  <c r="U39" i="1" a="1"/>
  <c r="U26" i="1" a="1"/>
  <c r="U30" i="1" a="1"/>
  <c r="U37" i="1" a="1"/>
  <c r="U40" i="1" a="1"/>
  <c r="U36" i="1" a="1"/>
  <c r="U31" i="1" a="1"/>
  <c r="AY51" i="2" l="1"/>
  <c r="AY56" i="2"/>
  <c r="AY37" i="2"/>
  <c r="AY38" i="2"/>
  <c r="AK54" i="2"/>
  <c r="AK55" i="2"/>
  <c r="AK37" i="2"/>
  <c r="AK36" i="2"/>
  <c r="AR50" i="2"/>
  <c r="AR51" i="2"/>
  <c r="AQ52" i="2"/>
  <c r="AQ53" i="2"/>
  <c r="D11" i="3"/>
  <c r="D9" i="3"/>
  <c r="U31" i="1"/>
  <c r="U36" i="1"/>
  <c r="U40" i="1"/>
  <c r="U37" i="1"/>
  <c r="U30" i="1"/>
  <c r="U26" i="1"/>
  <c r="U39" i="1"/>
  <c r="U29" i="1"/>
  <c r="U33" i="1"/>
  <c r="U28" i="1"/>
  <c r="U32" i="1"/>
  <c r="U34" i="1"/>
  <c r="U35" i="1"/>
  <c r="U38" i="1"/>
  <c r="U27" i="1"/>
  <c r="AR52" i="2" a="1"/>
  <c r="AR53" i="2" a="1"/>
  <c r="B12" i="3" a="1"/>
  <c r="D10" i="3" a="1"/>
  <c r="B9" i="3" a="1"/>
  <c r="U18" i="1" a="1"/>
  <c r="K10" i="1" a="1"/>
  <c r="K8" i="1" a="1"/>
  <c r="G7" i="1" a="1"/>
  <c r="AS26" i="1" a="1"/>
  <c r="AS28" i="1" a="1"/>
  <c r="AS6" i="1" a="1"/>
  <c r="K13" i="1" a="1"/>
  <c r="G11" i="1" a="1"/>
  <c r="K9" i="1" a="1"/>
  <c r="AS18" i="1" a="1"/>
  <c r="G5" i="1" a="1"/>
  <c r="AS15" i="1" a="1"/>
  <c r="K14" i="1" a="1"/>
  <c r="AS19" i="1" a="1"/>
  <c r="AS8" i="1" a="1"/>
  <c r="U9" i="1" a="1"/>
  <c r="U8" i="1" a="1"/>
  <c r="K16" i="1" a="1"/>
  <c r="K18" i="1" a="1"/>
  <c r="G3" i="1" a="1"/>
  <c r="AS9" i="1" a="1"/>
  <c r="AS20" i="1" a="1"/>
  <c r="K15" i="1" a="1"/>
  <c r="AS22" i="1" a="1"/>
  <c r="AS17" i="1" a="1"/>
  <c r="AS23" i="1" a="1"/>
  <c r="O6" i="1" a="1"/>
  <c r="O3" i="1" a="1"/>
  <c r="U16" i="1" a="1"/>
  <c r="U17" i="1" a="1"/>
  <c r="K11" i="1" a="1"/>
  <c r="K20" i="1" a="1"/>
  <c r="AS5" i="1" a="1"/>
  <c r="AS27" i="1" a="1"/>
  <c r="AS4" i="1" a="1"/>
  <c r="K12" i="1" a="1"/>
  <c r="K7" i="1" a="1"/>
  <c r="G4" i="1" a="1"/>
  <c r="K19" i="1" a="1"/>
  <c r="U7" i="1" a="1"/>
  <c r="O9" i="1" a="1"/>
  <c r="G6" i="1" a="1"/>
  <c r="U19" i="1" a="1"/>
  <c r="U12" i="1" a="1"/>
  <c r="O4" i="1" a="1"/>
  <c r="AS11" i="1" a="1"/>
  <c r="O5" i="1" a="1"/>
  <c r="AS12" i="1" a="1"/>
  <c r="O7" i="1" a="1"/>
  <c r="AS14" i="1" a="1"/>
  <c r="K17" i="1" a="1"/>
  <c r="U11" i="1" a="1"/>
  <c r="G8" i="1" a="1"/>
  <c r="K6" i="1" a="1"/>
  <c r="U6" i="1" a="1"/>
  <c r="O10" i="1" a="1"/>
  <c r="K3" i="1" a="1"/>
  <c r="AS13" i="1" a="1"/>
  <c r="AS25" i="1" a="1"/>
  <c r="G9" i="1" a="1"/>
  <c r="U13" i="1" a="1"/>
  <c r="AS24" i="1" a="1"/>
  <c r="AS7" i="1" a="1"/>
  <c r="AS10" i="1" a="1"/>
  <c r="G10" i="1" a="1"/>
  <c r="U14" i="1" a="1"/>
  <c r="O8" i="1" a="1"/>
  <c r="K5" i="1" a="1"/>
  <c r="AS16" i="1" a="1"/>
  <c r="U10" i="1" a="1"/>
  <c r="AS21" i="1" a="1"/>
  <c r="K4" i="1" a="1"/>
  <c r="U15" i="1" a="1"/>
  <c r="AY53" i="2" l="1"/>
  <c r="AY58" i="2"/>
  <c r="AY40" i="2"/>
  <c r="AY39" i="2"/>
  <c r="AK57" i="2"/>
  <c r="AK56" i="2"/>
  <c r="AK38" i="2"/>
  <c r="AK39" i="2"/>
  <c r="AR53" i="2"/>
  <c r="AR52" i="2"/>
  <c r="AQ55" i="2"/>
  <c r="AQ54" i="2"/>
  <c r="D10" i="3"/>
  <c r="B12" i="3"/>
  <c r="B9" i="3"/>
  <c r="U17" i="1"/>
  <c r="U8" i="1"/>
  <c r="U18" i="1"/>
  <c r="U19" i="1"/>
  <c r="U15" i="1"/>
  <c r="U11" i="1"/>
  <c r="U13" i="1"/>
  <c r="U7" i="1"/>
  <c r="U10" i="1"/>
  <c r="U14" i="1"/>
  <c r="U6" i="1"/>
  <c r="U12" i="1"/>
  <c r="U16" i="1"/>
  <c r="U9" i="1"/>
  <c r="O8" i="1"/>
  <c r="O9" i="1"/>
  <c r="O7" i="1"/>
  <c r="O6" i="1"/>
  <c r="O5" i="1"/>
  <c r="O10" i="1"/>
  <c r="O4" i="1"/>
  <c r="O3" i="1"/>
  <c r="K15" i="1"/>
  <c r="K20" i="1"/>
  <c r="K18" i="1"/>
  <c r="K8" i="1"/>
  <c r="K6" i="1"/>
  <c r="K5" i="1"/>
  <c r="K14" i="1"/>
  <c r="K17" i="1"/>
  <c r="K9" i="1"/>
  <c r="K19" i="1"/>
  <c r="K13" i="1"/>
  <c r="K7" i="1"/>
  <c r="K12" i="1"/>
  <c r="K11" i="1"/>
  <c r="K16" i="1"/>
  <c r="K10" i="1"/>
  <c r="K4" i="1"/>
  <c r="K3" i="1"/>
  <c r="G7" i="1"/>
  <c r="G10" i="1"/>
  <c r="G8" i="1"/>
  <c r="G6" i="1"/>
  <c r="G5" i="1"/>
  <c r="G9" i="1"/>
  <c r="G11" i="1"/>
  <c r="G4" i="1"/>
  <c r="G3" i="1"/>
  <c r="AS20" i="1"/>
  <c r="AS28" i="1"/>
  <c r="AS16" i="1"/>
  <c r="AS10" i="1"/>
  <c r="AS21" i="1"/>
  <c r="AS15" i="1"/>
  <c r="AS14" i="1"/>
  <c r="AS25" i="1"/>
  <c r="AS13" i="1"/>
  <c r="AS6" i="1"/>
  <c r="AS22" i="1"/>
  <c r="AS27" i="1"/>
  <c r="AS9" i="1"/>
  <c r="AS26" i="1"/>
  <c r="AS8" i="1"/>
  <c r="AS19" i="1"/>
  <c r="AS7" i="1"/>
  <c r="AS24" i="1"/>
  <c r="AS18" i="1"/>
  <c r="AS12" i="1"/>
  <c r="AS23" i="1"/>
  <c r="AS17" i="1"/>
  <c r="AS11" i="1"/>
  <c r="AS5" i="1"/>
  <c r="AS4" i="1"/>
  <c r="AH6" i="2"/>
  <c r="AH3" i="2"/>
  <c r="AH19" i="2"/>
  <c r="AH16" i="2"/>
  <c r="AG25" i="2" s="1"/>
  <c r="AH4" i="2"/>
  <c r="AH5" i="2"/>
  <c r="AG21" i="2" s="1"/>
  <c r="AH7" i="2"/>
  <c r="AH8" i="2"/>
  <c r="AG33" i="2" s="1"/>
  <c r="AH9" i="2"/>
  <c r="AG22" i="2" s="1"/>
  <c r="AH10" i="2"/>
  <c r="AG23" i="2" s="1"/>
  <c r="AH11" i="2"/>
  <c r="AG24" i="2" s="1"/>
  <c r="AH12" i="2"/>
  <c r="AH13" i="2"/>
  <c r="AH14" i="2"/>
  <c r="AH15" i="2"/>
  <c r="AH17" i="2"/>
  <c r="AH2" i="2"/>
  <c r="AD32" i="2"/>
  <c r="AD30" i="2"/>
  <c r="AD28" i="2"/>
  <c r="AD26" i="2"/>
  <c r="AD23" i="2"/>
  <c r="AD21" i="2"/>
  <c r="AD19" i="2"/>
  <c r="AD17" i="2"/>
  <c r="AC3" i="2"/>
  <c r="AC4" i="2"/>
  <c r="AB17" i="2" s="1"/>
  <c r="AC5" i="2"/>
  <c r="AB18" i="2" s="1"/>
  <c r="AC6" i="2"/>
  <c r="AB21" i="2" s="1"/>
  <c r="AC7" i="2"/>
  <c r="AB24" i="2" s="1"/>
  <c r="AC8" i="2"/>
  <c r="AB25" i="2" s="1"/>
  <c r="AC9" i="2"/>
  <c r="AB26" i="2" s="1"/>
  <c r="AC2" i="2"/>
  <c r="AB13" i="2" s="1"/>
  <c r="T26" i="2"/>
  <c r="W46" i="2" s="1"/>
  <c r="S24" i="2"/>
  <c r="T24" i="2" s="1"/>
  <c r="W40" i="2" s="1"/>
  <c r="S25" i="2"/>
  <c r="T25" i="2" s="1"/>
  <c r="W45" i="2" s="1"/>
  <c r="S19" i="2"/>
  <c r="T19" i="2" s="1"/>
  <c r="W10" i="2" s="1"/>
  <c r="S20" i="2"/>
  <c r="T20" i="2" s="1"/>
  <c r="W16" i="2" s="1"/>
  <c r="S21" i="2"/>
  <c r="T21" i="2" s="1"/>
  <c r="W22" i="2" s="1"/>
  <c r="S22" i="2"/>
  <c r="T22" i="2" s="1"/>
  <c r="W28" i="2" s="1"/>
  <c r="S23" i="2"/>
  <c r="T23" i="2" s="1"/>
  <c r="W34" i="2" s="1"/>
  <c r="S18" i="2"/>
  <c r="T18" i="2" s="1"/>
  <c r="S17" i="2"/>
  <c r="T17" i="2" s="1"/>
  <c r="W44" i="2" s="1"/>
  <c r="S11" i="2"/>
  <c r="T11" i="2" s="1"/>
  <c r="W9" i="2" s="1"/>
  <c r="S12" i="2"/>
  <c r="T12" i="2" s="1"/>
  <c r="W15" i="2" s="1"/>
  <c r="S13" i="2"/>
  <c r="T13" i="2" s="1"/>
  <c r="W21" i="2" s="1"/>
  <c r="S14" i="2"/>
  <c r="T14" i="2" s="1"/>
  <c r="W27" i="2" s="1"/>
  <c r="S15" i="2"/>
  <c r="T15" i="2" s="1"/>
  <c r="W33" i="2" s="1"/>
  <c r="S16" i="2"/>
  <c r="T16" i="2" s="1"/>
  <c r="W39" i="2" s="1"/>
  <c r="S10" i="2"/>
  <c r="T10" i="2" s="1"/>
  <c r="S3" i="2"/>
  <c r="T3" i="2" s="1"/>
  <c r="W8" i="2" s="1"/>
  <c r="S4" i="2"/>
  <c r="T4" i="2" s="1"/>
  <c r="W14" i="2" s="1"/>
  <c r="S5" i="2"/>
  <c r="T5" i="2" s="1"/>
  <c r="W20" i="2" s="1"/>
  <c r="S6" i="2"/>
  <c r="T6" i="2" s="1"/>
  <c r="W26" i="2" s="1"/>
  <c r="S7" i="2"/>
  <c r="T7" i="2" s="1"/>
  <c r="W32" i="2" s="1"/>
  <c r="S8" i="2"/>
  <c r="T8" i="2" s="1"/>
  <c r="W38" i="2" s="1"/>
  <c r="S9" i="2"/>
  <c r="T9" i="2" s="1"/>
  <c r="W43" i="2" s="1"/>
  <c r="S2" i="2"/>
  <c r="T2" i="2" s="1"/>
  <c r="Q3" i="2"/>
  <c r="Q4" i="2"/>
  <c r="Q2" i="2"/>
  <c r="Q5" i="2" s="1"/>
  <c r="E21" i="2"/>
  <c r="E10" i="2"/>
  <c r="H6" i="2"/>
  <c r="E12" i="2"/>
  <c r="E23" i="2"/>
  <c r="N3" i="2"/>
  <c r="N4" i="2"/>
  <c r="N5" i="2"/>
  <c r="N6" i="2"/>
  <c r="N7" i="2"/>
  <c r="N8" i="2"/>
  <c r="N9" i="2"/>
  <c r="N2" i="2"/>
  <c r="AR54" i="2" a="1"/>
  <c r="AR55" i="2" a="1"/>
  <c r="B10" i="3" a="1"/>
  <c r="AL3" i="1" a="1"/>
  <c r="AL103" i="1" a="1"/>
  <c r="AL94" i="1" a="1"/>
  <c r="AL74" i="1" a="1"/>
  <c r="AL9" i="1" a="1"/>
  <c r="AL104" i="1" a="1"/>
  <c r="AL85" i="1" a="1"/>
  <c r="AL71" i="1" a="1"/>
  <c r="AL100" i="1" a="1"/>
  <c r="AL105" i="1" a="1"/>
  <c r="AL72" i="1" a="1"/>
  <c r="AL97" i="1" a="1"/>
  <c r="AL86" i="1" a="1"/>
  <c r="AL69" i="1" a="1"/>
  <c r="AL106" i="1" a="1"/>
  <c r="AL83" i="1" a="1"/>
  <c r="AL32" i="1" a="1"/>
  <c r="AL99" i="1" a="1"/>
  <c r="AL2" i="1" a="1"/>
  <c r="AL30" i="1" a="1"/>
  <c r="AL4" i="1" a="1"/>
  <c r="AL78" i="1" a="1"/>
  <c r="AL10" i="1" a="1"/>
  <c r="AL79" i="1" a="1"/>
  <c r="AL5" i="1" a="1"/>
  <c r="AL84" i="1" a="1"/>
  <c r="AL98" i="1" a="1"/>
  <c r="AL70" i="1" a="1"/>
  <c r="AL92" i="1" a="1"/>
  <c r="AL77" i="1" a="1"/>
  <c r="AL6" i="1" a="1"/>
  <c r="AL90" i="1" a="1"/>
  <c r="AL87" i="1" a="1"/>
  <c r="AL73" i="1" a="1"/>
  <c r="AL7" i="1" a="1"/>
  <c r="AL96" i="1" a="1"/>
  <c r="AL67" i="1" a="1"/>
  <c r="AL89" i="1" a="1"/>
  <c r="AL101" i="1" a="1"/>
  <c r="AL82" i="1" a="1"/>
  <c r="AL95" i="1" a="1"/>
  <c r="AL88" i="1" a="1"/>
  <c r="AL91" i="1" a="1"/>
  <c r="AL8" i="1" a="1"/>
  <c r="AL102" i="1" a="1"/>
  <c r="AL93" i="1" a="1"/>
  <c r="AL68" i="1" a="1"/>
  <c r="AY55" i="2" l="1"/>
  <c r="AK40" i="2"/>
  <c r="AD18" i="2"/>
  <c r="AR55" i="2"/>
  <c r="AR54" i="2"/>
  <c r="AQ57" i="2"/>
  <c r="AQ56" i="2"/>
  <c r="B10" i="3"/>
  <c r="AH18" i="2"/>
  <c r="AD27" i="2"/>
  <c r="AG29" i="2"/>
  <c r="AG31" i="2"/>
  <c r="AG30" i="2"/>
  <c r="AG32" i="2"/>
  <c r="AD31" i="2"/>
  <c r="AD20" i="2"/>
  <c r="AD29" i="2"/>
  <c r="AD22" i="2"/>
  <c r="AC10" i="2"/>
  <c r="N10" i="2"/>
  <c r="W23" i="2"/>
  <c r="W47" i="2"/>
  <c r="W35" i="2"/>
  <c r="W41" i="2"/>
  <c r="W29" i="2"/>
  <c r="AB14" i="2"/>
  <c r="AD16" i="2" s="1"/>
  <c r="T31" i="2"/>
  <c r="W3" i="2"/>
  <c r="T30" i="2"/>
  <c r="W2" i="2"/>
  <c r="T29" i="2"/>
  <c r="T27" i="2"/>
  <c r="W11" i="2"/>
  <c r="W17" i="2"/>
  <c r="W4" i="2"/>
  <c r="AL7" i="1"/>
  <c r="AL6" i="1"/>
  <c r="AL5" i="1"/>
  <c r="AL10" i="1"/>
  <c r="AL4" i="1"/>
  <c r="AL9" i="1"/>
  <c r="AL3" i="1"/>
  <c r="AL8" i="1"/>
  <c r="AL2" i="1"/>
  <c r="AL106" i="1"/>
  <c r="AL87" i="1"/>
  <c r="AL98" i="1"/>
  <c r="AL86" i="1"/>
  <c r="AL105" i="1"/>
  <c r="AL85" i="1"/>
  <c r="AL94" i="1"/>
  <c r="AL93" i="1"/>
  <c r="AL91" i="1"/>
  <c r="AL88" i="1"/>
  <c r="AL99" i="1"/>
  <c r="AL92" i="1"/>
  <c r="AL96" i="1"/>
  <c r="AL90" i="1"/>
  <c r="AL84" i="1"/>
  <c r="AL97" i="1"/>
  <c r="AL100" i="1"/>
  <c r="AL104" i="1"/>
  <c r="AL103" i="1"/>
  <c r="AL102" i="1"/>
  <c r="AL101" i="1"/>
  <c r="AL95" i="1"/>
  <c r="AL89" i="1"/>
  <c r="AL83" i="1"/>
  <c r="AL82" i="1"/>
  <c r="AL79" i="1"/>
  <c r="AL78" i="1"/>
  <c r="AL77" i="1"/>
  <c r="AL73" i="1"/>
  <c r="AL70" i="1"/>
  <c r="AL69" i="1"/>
  <c r="AL72" i="1"/>
  <c r="AL71" i="1"/>
  <c r="AL74" i="1"/>
  <c r="AL68" i="1"/>
  <c r="AL67" i="1"/>
  <c r="AL32" i="1"/>
  <c r="AL30" i="1"/>
  <c r="AO15" i="1"/>
  <c r="AR57" i="2" a="1"/>
  <c r="AR56" i="2" a="1"/>
  <c r="AY57" i="2" l="1"/>
  <c r="AR56" i="2"/>
  <c r="AR57" i="2"/>
  <c r="AG34" i="2"/>
  <c r="AD25" i="2"/>
  <c r="W5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2" i="2"/>
  <c r="H3" i="2"/>
  <c r="H4" i="2"/>
  <c r="H5" i="2"/>
  <c r="H7" i="2"/>
  <c r="H8" i="2"/>
  <c r="H9" i="2"/>
  <c r="H10" i="2"/>
  <c r="H2" i="2"/>
  <c r="E3" i="2"/>
  <c r="E4" i="2"/>
  <c r="E5" i="2"/>
  <c r="E6" i="2"/>
  <c r="E7" i="2"/>
  <c r="E8" i="2"/>
  <c r="E9" i="2"/>
  <c r="E11" i="2"/>
  <c r="E13" i="2"/>
  <c r="E14" i="2"/>
  <c r="E15" i="2"/>
  <c r="E16" i="2"/>
  <c r="E17" i="2"/>
  <c r="E18" i="2"/>
  <c r="E19" i="2"/>
  <c r="E20" i="2"/>
  <c r="E22" i="2"/>
  <c r="E24" i="2"/>
  <c r="E2" i="2"/>
  <c r="B3" i="2"/>
  <c r="B4" i="2"/>
  <c r="B5" i="2"/>
  <c r="B6" i="2"/>
  <c r="B7" i="2"/>
  <c r="B8" i="2"/>
  <c r="B9" i="2"/>
  <c r="B10" i="2"/>
  <c r="B2" i="2"/>
  <c r="AE3" i="1"/>
  <c r="AE4" i="1"/>
  <c r="AL56" i="1" a="1"/>
  <c r="AL41" i="1" a="1"/>
  <c r="AL44" i="1" a="1"/>
  <c r="AL22" i="1" a="1"/>
  <c r="AL49" i="1" a="1"/>
  <c r="AL52" i="1" a="1"/>
  <c r="AL60" i="1" a="1"/>
  <c r="AL26" i="1" a="1"/>
  <c r="AO3" i="1" a="1"/>
  <c r="AL61" i="1" a="1"/>
  <c r="AE1" i="1" a="1"/>
  <c r="AL19" i="1" a="1"/>
  <c r="C4" i="1" a="1"/>
  <c r="C6" i="1" a="1"/>
  <c r="AL24" i="1" a="1"/>
  <c r="AL14" i="1" a="1"/>
  <c r="AL27" i="1" a="1"/>
  <c r="AL39" i="1" a="1"/>
  <c r="AL31" i="1" a="1"/>
  <c r="AL53" i="1" a="1"/>
  <c r="AL43" i="1" a="1"/>
  <c r="AL51" i="1" a="1"/>
  <c r="AL36" i="1" a="1"/>
  <c r="AL37" i="1" a="1"/>
  <c r="AL59" i="1" a="1"/>
  <c r="AL17" i="1" a="1"/>
  <c r="AL33" i="1" a="1"/>
  <c r="AL54" i="1" a="1"/>
  <c r="C5" i="1" a="1"/>
  <c r="AL28" i="1" a="1"/>
  <c r="AO11" i="1" a="1"/>
  <c r="AL64" i="1" a="1"/>
  <c r="C3" i="1" a="1"/>
  <c r="AL16" i="1" a="1"/>
  <c r="AL29" i="1" a="1"/>
  <c r="AL55" i="1" a="1"/>
  <c r="AL15" i="1" a="1"/>
  <c r="AL40" i="1" a="1"/>
  <c r="AO8" i="1" a="1"/>
  <c r="AL50" i="1" a="1"/>
  <c r="AL57" i="1" a="1"/>
  <c r="AL42" i="1" a="1"/>
  <c r="AL38" i="1" a="1"/>
  <c r="C9" i="1" a="1"/>
  <c r="AL18" i="1" a="1"/>
  <c r="AL21" i="1" a="1"/>
  <c r="AL13" i="1" a="1"/>
  <c r="AL47" i="1" a="1"/>
  <c r="AL25" i="1" a="1"/>
  <c r="AL58" i="1" a="1"/>
  <c r="AL20" i="1" a="1"/>
  <c r="AL48" i="1" a="1"/>
  <c r="AL23" i="1" a="1"/>
  <c r="H11" i="2" l="1"/>
  <c r="K17" i="2"/>
  <c r="E25" i="2"/>
  <c r="B11" i="2"/>
  <c r="AO11" i="1"/>
  <c r="AO8" i="1"/>
  <c r="AO13" i="1"/>
  <c r="AO3" i="1"/>
  <c r="AL64" i="1"/>
  <c r="AL57" i="1"/>
  <c r="AL51" i="1"/>
  <c r="AL50" i="1"/>
  <c r="AL49" i="1"/>
  <c r="AL15" i="1"/>
  <c r="AL26" i="1"/>
  <c r="AL33" i="1"/>
  <c r="AL25" i="1"/>
  <c r="AL19" i="1"/>
  <c r="AL13" i="1"/>
  <c r="AL21" i="1"/>
  <c r="AL56" i="1"/>
  <c r="AL20" i="1"/>
  <c r="AL40" i="1"/>
  <c r="AL27" i="1"/>
  <c r="AL42" i="1"/>
  <c r="AL55" i="1"/>
  <c r="AL54" i="1"/>
  <c r="AL37" i="1"/>
  <c r="AL29" i="1"/>
  <c r="AL43" i="1"/>
  <c r="AL14" i="1"/>
  <c r="AL61" i="1"/>
  <c r="AL60" i="1"/>
  <c r="AL48" i="1"/>
  <c r="AL24" i="1"/>
  <c r="AL53" i="1"/>
  <c r="AL39" i="1"/>
  <c r="AL23" i="1"/>
  <c r="AL17" i="1"/>
  <c r="AL36" i="1"/>
  <c r="AL41" i="1"/>
  <c r="AL31" i="1"/>
  <c r="AL18" i="1"/>
  <c r="AL59" i="1"/>
  <c r="AL47" i="1"/>
  <c r="AL58" i="1"/>
  <c r="AL52" i="1"/>
  <c r="AL44" i="1"/>
  <c r="AL38" i="1"/>
  <c r="AL28" i="1"/>
  <c r="AL22" i="1"/>
  <c r="AL16" i="1"/>
  <c r="AG2" i="1"/>
  <c r="AE1" i="1"/>
  <c r="AB6" i="1"/>
  <c r="AB9" i="1"/>
  <c r="AB8" i="1"/>
  <c r="AB11" i="1"/>
  <c r="AB10" i="1"/>
  <c r="AB7" i="1"/>
  <c r="C9" i="1"/>
  <c r="C3" i="1"/>
  <c r="C6" i="1"/>
  <c r="C5" i="1"/>
  <c r="C4" i="1"/>
  <c r="AO16" i="1" a="1"/>
  <c r="AO14" i="1" a="1"/>
  <c r="AO16" i="1" l="1"/>
  <c r="AO14" i="1"/>
  <c r="AE5" i="1"/>
  <c r="AE6" i="1" s="1"/>
  <c r="AE7" i="1" a="1"/>
  <c r="AE7" i="1" l="1"/>
  <c r="AH7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<sst xmlns="http://schemas.openxmlformats.org/spreadsheetml/2006/main" count="663" uniqueCount="281">
  <si>
    <t>Standard</t>
  </si>
  <si>
    <t>IUPAC_STP</t>
  </si>
  <si>
    <t>K</t>
  </si>
  <si>
    <t>Pa</t>
  </si>
  <si>
    <t>Metric Temperature</t>
  </si>
  <si>
    <t>Metric Pressure</t>
  </si>
  <si>
    <t>Customary Temperature</t>
  </si>
  <si>
    <t>Customary Pressure</t>
  </si>
  <si>
    <t>R</t>
  </si>
  <si>
    <t>psia</t>
  </si>
  <si>
    <t>m3/s</t>
  </si>
  <si>
    <t>m3/hr</t>
  </si>
  <si>
    <t>cm3/s</t>
  </si>
  <si>
    <t>cm3/hr</t>
  </si>
  <si>
    <t>L/s</t>
  </si>
  <si>
    <t>L/hr</t>
  </si>
  <si>
    <t>in3/s</t>
  </si>
  <si>
    <t>in3/hr</t>
  </si>
  <si>
    <t>ft3/s</t>
  </si>
  <si>
    <t>ft3/hr</t>
  </si>
  <si>
    <t>gal/s</t>
  </si>
  <si>
    <t>gal/hr</t>
  </si>
  <si>
    <t>Initial Value</t>
  </si>
  <si>
    <t>ccs</t>
  </si>
  <si>
    <t>kg/m3</t>
  </si>
  <si>
    <t>kg/cm3</t>
  </si>
  <si>
    <t>kg/L</t>
  </si>
  <si>
    <t>g/m3</t>
  </si>
  <si>
    <t>g/L</t>
  </si>
  <si>
    <t>lbm/in3</t>
  </si>
  <si>
    <t>lbm/ft3</t>
  </si>
  <si>
    <t>lbm/gal</t>
  </si>
  <si>
    <t>Volume Flow Check</t>
  </si>
  <si>
    <t>Density Check</t>
  </si>
  <si>
    <t>Mass Flow Check</t>
  </si>
  <si>
    <t>kg/s</t>
  </si>
  <si>
    <t>kg/hr</t>
  </si>
  <si>
    <t>g/s</t>
  </si>
  <si>
    <t>g/hr</t>
  </si>
  <si>
    <t>lbm/s</t>
  </si>
  <si>
    <t>lbm/hr</t>
  </si>
  <si>
    <t>Universal Gas Constant</t>
  </si>
  <si>
    <t>Standard Flow Check</t>
  </si>
  <si>
    <t>Gas</t>
  </si>
  <si>
    <t>O2</t>
  </si>
  <si>
    <t>string</t>
  </si>
  <si>
    <t>scms</t>
  </si>
  <si>
    <t>scmm</t>
  </si>
  <si>
    <t>scmh</t>
  </si>
  <si>
    <t>slps</t>
  </si>
  <si>
    <t>slpm</t>
  </si>
  <si>
    <t>slph</t>
  </si>
  <si>
    <t>sccs</t>
  </si>
  <si>
    <t>sccm</t>
  </si>
  <si>
    <t>scch</t>
  </si>
  <si>
    <t>scfs</t>
  </si>
  <si>
    <t>scfm</t>
  </si>
  <si>
    <t>scfh</t>
  </si>
  <si>
    <t>scis</t>
  </si>
  <si>
    <t>scim</t>
  </si>
  <si>
    <t>scih</t>
  </si>
  <si>
    <t>NTP</t>
  </si>
  <si>
    <t>F</t>
  </si>
  <si>
    <t>Mass Flow</t>
  </si>
  <si>
    <t>Specific Gas Constant</t>
  </si>
  <si>
    <t>J/kg*K</t>
  </si>
  <si>
    <t>Standard Temp</t>
  </si>
  <si>
    <t>Standard Pressure</t>
  </si>
  <si>
    <t>Standard Density</t>
  </si>
  <si>
    <t>Standard Flow Rate</t>
  </si>
  <si>
    <t>kPa</t>
  </si>
  <si>
    <t>ISO 2314 and ISO 3977-2 had -.03383 error - 59 F, 101.33 kPa</t>
  </si>
  <si>
    <t>ISO 2533, ISO13443, ISO7504 has .002626 error, 59 F, 101.325 kPa</t>
  </si>
  <si>
    <t>ISO 2533</t>
  </si>
  <si>
    <t>Valcor Answer</t>
  </si>
  <si>
    <t>Error</t>
  </si>
  <si>
    <t>Calculated</t>
  </si>
  <si>
    <t>Unit</t>
  </si>
  <si>
    <t>Standard Flow Check - Valcor (No Compressibility)</t>
  </si>
  <si>
    <t>Mass Flow Units</t>
  </si>
  <si>
    <t>Volume Flow Units</t>
  </si>
  <si>
    <t>Density Units</t>
  </si>
  <si>
    <t>Standard Volume Flow Units</t>
  </si>
  <si>
    <t>VBA Case</t>
  </si>
  <si>
    <t>floogle</t>
  </si>
  <si>
    <t>General fluidConvert Check</t>
  </si>
  <si>
    <t>Initial Mass Flow</t>
  </si>
  <si>
    <t>Standard Flow</t>
  </si>
  <si>
    <t>N2</t>
  </si>
  <si>
    <t>Initial Volume Flow</t>
  </si>
  <si>
    <t>Volume Flow</t>
  </si>
  <si>
    <t>Initial Density</t>
  </si>
  <si>
    <t>Density</t>
  </si>
  <si>
    <t>Initial Standard Volume Flow</t>
  </si>
  <si>
    <t>Standard Volume Flow</t>
  </si>
  <si>
    <t>psi</t>
  </si>
  <si>
    <t>Length Units</t>
  </si>
  <si>
    <t>m</t>
  </si>
  <si>
    <t>mm</t>
  </si>
  <si>
    <t>km</t>
  </si>
  <si>
    <t>cm</t>
  </si>
  <si>
    <t>in</t>
  </si>
  <si>
    <t>ft</t>
  </si>
  <si>
    <t>yd</t>
  </si>
  <si>
    <t>mi</t>
  </si>
  <si>
    <t>Speed Units</t>
  </si>
  <si>
    <t>Time Units</t>
  </si>
  <si>
    <t>s</t>
  </si>
  <si>
    <t>min</t>
  </si>
  <si>
    <t>hr</t>
  </si>
  <si>
    <t>kg/min</t>
  </si>
  <si>
    <t>g/min</t>
  </si>
  <si>
    <t>lbm/min</t>
  </si>
  <si>
    <t>m3/min</t>
  </si>
  <si>
    <t>cm3/min</t>
  </si>
  <si>
    <t>L/min</t>
  </si>
  <si>
    <t>in3/min</t>
  </si>
  <si>
    <t>ft3/min</t>
  </si>
  <si>
    <t>gal/min</t>
  </si>
  <si>
    <t>gpm</t>
  </si>
  <si>
    <t>lpm</t>
  </si>
  <si>
    <t>g/cm3</t>
  </si>
  <si>
    <t>lps</t>
  </si>
  <si>
    <t>gps</t>
  </si>
  <si>
    <t>mph</t>
  </si>
  <si>
    <t>Unit Type Check - Mass</t>
  </si>
  <si>
    <t>Unit Type Check - Volume</t>
  </si>
  <si>
    <t>Unit Type Check - Density</t>
  </si>
  <si>
    <t xml:space="preserve">Unit Type Check - Standard Volume Flow </t>
  </si>
  <si>
    <t>Unit Type Check - Not Recognized</t>
  </si>
  <si>
    <t>Unit Type Check - Length</t>
  </si>
  <si>
    <t>Unit Type Check - Time</t>
  </si>
  <si>
    <t>km/s</t>
  </si>
  <si>
    <t>m/s</t>
  </si>
  <si>
    <t>cm/s</t>
  </si>
  <si>
    <t>mm/s</t>
  </si>
  <si>
    <t>in/s</t>
  </si>
  <si>
    <t>ft/s</t>
  </si>
  <si>
    <t>yd/s</t>
  </si>
  <si>
    <t>mi/s</t>
  </si>
  <si>
    <t>km/min</t>
  </si>
  <si>
    <t>m/min</t>
  </si>
  <si>
    <t>cm/min</t>
  </si>
  <si>
    <t>mm/min</t>
  </si>
  <si>
    <t>in/min</t>
  </si>
  <si>
    <t>ft/min</t>
  </si>
  <si>
    <t>yd/min</t>
  </si>
  <si>
    <t>mi/min</t>
  </si>
  <si>
    <t>km/hr</t>
  </si>
  <si>
    <t>m/hr</t>
  </si>
  <si>
    <t>cm/hr</t>
  </si>
  <si>
    <t>mm/hr</t>
  </si>
  <si>
    <t>in/hr</t>
  </si>
  <si>
    <t>ft/hr</t>
  </si>
  <si>
    <t>yd/hr</t>
  </si>
  <si>
    <t>mi/hr</t>
  </si>
  <si>
    <t>Unit Type Check - Speed</t>
  </si>
  <si>
    <t>VBA per min Case</t>
  </si>
  <si>
    <t>VBA per sec Case</t>
  </si>
  <si>
    <t>VBA per hr Case</t>
  </si>
  <si>
    <t>VBA km Case</t>
  </si>
  <si>
    <t>km Speed Units</t>
  </si>
  <si>
    <t>m Speed Units</t>
  </si>
  <si>
    <t>cm Speed Units</t>
  </si>
  <si>
    <t>VBA m Case</t>
  </si>
  <si>
    <t>VBA cm Case</t>
  </si>
  <si>
    <t>mm Speed Units</t>
  </si>
  <si>
    <t>VBA mm Case</t>
  </si>
  <si>
    <t>in Speed Units</t>
  </si>
  <si>
    <t>VBA in Case</t>
  </si>
  <si>
    <t>ft Speed Units</t>
  </si>
  <si>
    <t>VBA ft Case</t>
  </si>
  <si>
    <t>VBA yd Case</t>
  </si>
  <si>
    <t>VBA mi Case</t>
  </si>
  <si>
    <t>Fluid Speed Convert Check</t>
  </si>
  <si>
    <t>Test Value</t>
  </si>
  <si>
    <t>Temperature Units</t>
  </si>
  <si>
    <t>C</t>
  </si>
  <si>
    <t>°F</t>
  </si>
  <si>
    <t>°C</t>
  </si>
  <si>
    <t>Rank</t>
  </si>
  <si>
    <t>Rankine</t>
  </si>
  <si>
    <t>VBA Fahrenheit Case</t>
  </si>
  <si>
    <t>Fahrenheit Units</t>
  </si>
  <si>
    <t>Celsius Units</t>
  </si>
  <si>
    <t>Kelvin Units</t>
  </si>
  <si>
    <t>Rankine Units</t>
  </si>
  <si>
    <t>VBA Celsius Case</t>
  </si>
  <si>
    <t>VBA Kelvin Case</t>
  </si>
  <si>
    <t>VBA Rankine Case</t>
  </si>
  <si>
    <t>Variable Name</t>
  </si>
  <si>
    <t>from_unit_unit</t>
  </si>
  <si>
    <t>to_unit_unit</t>
  </si>
  <si>
    <t>from unit assignment</t>
  </si>
  <si>
    <t>Pressure Units</t>
  </si>
  <si>
    <t>psig</t>
  </si>
  <si>
    <t>psid</t>
  </si>
  <si>
    <t>lbf/in2</t>
  </si>
  <si>
    <t>lb/in2</t>
  </si>
  <si>
    <t>mmHg</t>
  </si>
  <si>
    <t>atm</t>
  </si>
  <si>
    <t>MPa</t>
  </si>
  <si>
    <t>GPa</t>
  </si>
  <si>
    <t>torr</t>
  </si>
  <si>
    <t>bar</t>
  </si>
  <si>
    <t>Torr</t>
  </si>
  <si>
    <t>psi units</t>
  </si>
  <si>
    <t>ksi</t>
  </si>
  <si>
    <t>Temperature Convert Check</t>
  </si>
  <si>
    <t>Pressure Convert Check</t>
  </si>
  <si>
    <t>Air</t>
  </si>
  <si>
    <t>Upstream Pressure</t>
  </si>
  <si>
    <t>Downstream Pressure</t>
  </si>
  <si>
    <t>Temperature</t>
  </si>
  <si>
    <t>Gas Name</t>
  </si>
  <si>
    <t>Orifice Diameter</t>
  </si>
  <si>
    <t>Discharge Coefficient</t>
  </si>
  <si>
    <t>Orifice Area</t>
  </si>
  <si>
    <t>in2</t>
  </si>
  <si>
    <t>m2</t>
  </si>
  <si>
    <t>ul</t>
  </si>
  <si>
    <t>Orifice Flow Speed</t>
  </si>
  <si>
    <t>Choked Check</t>
  </si>
  <si>
    <t>Area Units</t>
  </si>
  <si>
    <t>km2</t>
  </si>
  <si>
    <t>cm2</t>
  </si>
  <si>
    <t>mm2</t>
  </si>
  <si>
    <t>ft2</t>
  </si>
  <si>
    <t>yd2</t>
  </si>
  <si>
    <t>mi2</t>
  </si>
  <si>
    <t>km^2</t>
  </si>
  <si>
    <t>m^2</t>
  </si>
  <si>
    <t>cm^2</t>
  </si>
  <si>
    <t>mm^2</t>
  </si>
  <si>
    <t>in^2</t>
  </si>
  <si>
    <t>ft^2</t>
  </si>
  <si>
    <t>yd^2</t>
  </si>
  <si>
    <t>mi^2</t>
  </si>
  <si>
    <t>Volume Units</t>
  </si>
  <si>
    <t>km3</t>
  </si>
  <si>
    <t>m3</t>
  </si>
  <si>
    <t>cm3</t>
  </si>
  <si>
    <t>mm3</t>
  </si>
  <si>
    <t>in3</t>
  </si>
  <si>
    <t>ft3</t>
  </si>
  <si>
    <t>yd3</t>
  </si>
  <si>
    <t>mi3</t>
  </si>
  <si>
    <t>km^3</t>
  </si>
  <si>
    <t>m^3</t>
  </si>
  <si>
    <t>cm^3</t>
  </si>
  <si>
    <t>mm^3</t>
  </si>
  <si>
    <t>in^3</t>
  </si>
  <si>
    <t>ft^3</t>
  </si>
  <si>
    <t>yd^3</t>
  </si>
  <si>
    <t>mi^3</t>
  </si>
  <si>
    <t>Moment of Inertia Units</t>
  </si>
  <si>
    <t>km4</t>
  </si>
  <si>
    <t>m4</t>
  </si>
  <si>
    <t>cm4</t>
  </si>
  <si>
    <t>mm4</t>
  </si>
  <si>
    <t>in4</t>
  </si>
  <si>
    <t>ft4</t>
  </si>
  <si>
    <t>yd4</t>
  </si>
  <si>
    <t>mi4</t>
  </si>
  <si>
    <t>km^4</t>
  </si>
  <si>
    <t>m^4</t>
  </si>
  <si>
    <t>cm^4</t>
  </si>
  <si>
    <t>mm^4</t>
  </si>
  <si>
    <t>in^4</t>
  </si>
  <si>
    <t>ft^4</t>
  </si>
  <si>
    <t>yd^4</t>
  </si>
  <si>
    <t>mi^4</t>
  </si>
  <si>
    <t>L</t>
  </si>
  <si>
    <t>ml</t>
  </si>
  <si>
    <t>mL</t>
  </si>
  <si>
    <t>gal</t>
  </si>
  <si>
    <t>Usable Area Unit</t>
  </si>
  <si>
    <t>Area Convert Check</t>
  </si>
  <si>
    <t>Volume Convert Check</t>
  </si>
  <si>
    <t>Moment of Inertia Convert Check</t>
  </si>
  <si>
    <t>Coefficient of Discharge Flow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</si>
</sst>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72" formatCode="0.000E+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1" fontId="0" fillId="0" borderId="0" xfId="0" applyNumberFormat="1"/>
    <xf numFmtId="2" fontId="0" fillId="0" borderId="0" xfId="0" applyNumberFormat="1"/>
    <xf numFmtId="11" fontId="0" fillId="0" borderId="0" xfId="0" applyNumberFormat="1"/>
    <xf numFmtId="17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EF7CA-E52B-4676-9B84-82CDBCCDCCA7}">
  <sheetPr codeName="Sheet1"/>
  <dimension ref="B1:BN106"/>
  <sheetViews>
    <sheetView tabSelected="1" topLeftCell="AX1" zoomScale="85" zoomScaleNormal="85" workbookViewId="0">
      <selection activeCell="BM14" sqref="BM14"/>
    </sheetView>
  </sheetViews>
  <sheetFormatPr defaultRowHeight="15" x14ac:dyDescent="0.25"/>
  <cols>
    <col min="2" max="2" width="23.28515625" bestFit="1" customWidth="1"/>
    <col min="3" max="3" width="10.5703125" bestFit="1" customWidth="1"/>
    <col min="4" max="4" width="5.140625" bestFit="1" customWidth="1"/>
    <col min="5" max="5" width="1.7109375" customWidth="1"/>
    <col min="6" max="6" width="12.7109375" bestFit="1" customWidth="1"/>
    <col min="7" max="7" width="16.7109375" bestFit="1" customWidth="1"/>
    <col min="8" max="8" width="7.42578125" bestFit="1" customWidth="1"/>
    <col min="9" max="9" width="1.7109375" customWidth="1"/>
    <col min="10" max="10" width="12.7109375" bestFit="1" customWidth="1"/>
    <col min="11" max="11" width="19.140625" bestFit="1" customWidth="1"/>
    <col min="12" max="12" width="9" bestFit="1" customWidth="1"/>
    <col min="13" max="13" width="1.7109375" customWidth="1"/>
    <col min="14" max="14" width="12.7109375" bestFit="1" customWidth="1"/>
    <col min="15" max="15" width="13.85546875" bestFit="1" customWidth="1"/>
    <col min="16" max="16" width="8.42578125" customWidth="1"/>
    <col min="17" max="17" width="1.7109375" customWidth="1"/>
    <col min="18" max="18" width="12.7109375" bestFit="1" customWidth="1"/>
    <col min="19" max="19" width="20.28515625" bestFit="1" customWidth="1"/>
    <col min="20" max="20" width="12.28515625" bestFit="1" customWidth="1"/>
    <col min="21" max="21" width="8.42578125" bestFit="1" customWidth="1"/>
    <col min="22" max="22" width="6.42578125" customWidth="1"/>
    <col min="23" max="23" width="1.7109375" customWidth="1"/>
    <col min="24" max="24" width="12.7109375" bestFit="1" customWidth="1"/>
    <col min="25" max="25" width="48" bestFit="1" customWidth="1"/>
    <col min="26" max="26" width="6.42578125" bestFit="1" customWidth="1"/>
    <col min="27" max="27" width="14.28515625" bestFit="1" customWidth="1"/>
    <col min="28" max="28" width="12.28515625" bestFit="1" customWidth="1"/>
    <col min="29" max="29" width="1.7109375" customWidth="1"/>
    <col min="30" max="30" width="21.140625" bestFit="1" customWidth="1"/>
    <col min="31" max="31" width="12.28515625" bestFit="1" customWidth="1"/>
    <col min="32" max="32" width="6.7109375" bestFit="1" customWidth="1"/>
    <col min="33" max="34" width="12.28515625" bestFit="1" customWidth="1"/>
    <col min="35" max="35" width="59.28515625" bestFit="1" customWidth="1"/>
    <col min="38" max="38" width="22.28515625" bestFit="1" customWidth="1"/>
    <col min="40" max="40" width="26.5703125" bestFit="1" customWidth="1"/>
    <col min="41" max="41" width="12.28515625" bestFit="1" customWidth="1"/>
    <col min="48" max="48" width="10.85546875" bestFit="1" customWidth="1"/>
    <col min="49" max="49" width="36.42578125" bestFit="1" customWidth="1"/>
    <col min="52" max="52" width="22.42578125" bestFit="1" customWidth="1"/>
    <col min="53" max="53" width="53.7109375" bestFit="1" customWidth="1"/>
    <col min="56" max="56" width="18.5703125" bestFit="1" customWidth="1"/>
    <col min="60" max="60" width="21.5703125" bestFit="1" customWidth="1"/>
    <col min="64" max="64" width="31.5703125" bestFit="1" customWidth="1"/>
    <col min="65" max="65" width="41.85546875" bestFit="1" customWidth="1"/>
  </cols>
  <sheetData>
    <row r="1" spans="2:66" x14ac:dyDescent="0.25">
      <c r="G1" t="s">
        <v>34</v>
      </c>
      <c r="K1" t="s">
        <v>32</v>
      </c>
      <c r="O1" t="s">
        <v>33</v>
      </c>
      <c r="S1" t="s">
        <v>42</v>
      </c>
      <c r="Y1" t="s">
        <v>78</v>
      </c>
      <c r="AD1" t="s">
        <v>63</v>
      </c>
      <c r="AE1" cm="1">
        <f t="array" ref="AE1">fluidMassFlowConvert(Y2,Z2,AF1)</f>
        <v>1E-3</v>
      </c>
      <c r="AF1" t="s">
        <v>35</v>
      </c>
      <c r="AK1" t="s">
        <v>125</v>
      </c>
      <c r="AN1" t="s">
        <v>85</v>
      </c>
      <c r="AR1" t="s">
        <v>175</v>
      </c>
      <c r="AS1">
        <v>100</v>
      </c>
      <c r="AT1" t="s">
        <v>133</v>
      </c>
      <c r="AW1" t="s">
        <v>208</v>
      </c>
      <c r="AZ1" t="s">
        <v>209</v>
      </c>
      <c r="BD1" t="s">
        <v>277</v>
      </c>
      <c r="BH1" t="s">
        <v>278</v>
      </c>
      <c r="BL1" t="s">
        <v>279</v>
      </c>
    </row>
    <row r="2" spans="2:66" x14ac:dyDescent="0.25">
      <c r="B2" t="s">
        <v>0</v>
      </c>
      <c r="C2" t="s">
        <v>1</v>
      </c>
      <c r="F2" t="s">
        <v>22</v>
      </c>
      <c r="G2">
        <v>1</v>
      </c>
      <c r="H2" t="s">
        <v>35</v>
      </c>
      <c r="J2" t="s">
        <v>22</v>
      </c>
      <c r="K2">
        <v>100</v>
      </c>
      <c r="L2" t="s">
        <v>23</v>
      </c>
      <c r="N2" t="s">
        <v>22</v>
      </c>
      <c r="O2">
        <v>1</v>
      </c>
      <c r="P2" t="s">
        <v>24</v>
      </c>
      <c r="R2" t="s">
        <v>22</v>
      </c>
      <c r="S2">
        <v>1</v>
      </c>
      <c r="T2" t="s">
        <v>37</v>
      </c>
      <c r="X2" t="s">
        <v>22</v>
      </c>
      <c r="Y2">
        <v>1</v>
      </c>
      <c r="Z2" t="s">
        <v>37</v>
      </c>
      <c r="AD2" t="s">
        <v>64</v>
      </c>
      <c r="AE2" cm="1">
        <f t="array" ref="AE2">fluidGasConstant("O2")</f>
        <v>259.83661262297335</v>
      </c>
      <c r="AF2" t="s">
        <v>65</v>
      </c>
      <c r="AG2">
        <f>AE2/1000</f>
        <v>0.25983661262297336</v>
      </c>
      <c r="AK2" t="s">
        <v>35</v>
      </c>
      <c r="AL2" t="str" cm="1">
        <f t="array" ref="AL2">fluidUnitType(AK2)</f>
        <v>Mass Flow</v>
      </c>
      <c r="AN2" t="s">
        <v>86</v>
      </c>
      <c r="AO2">
        <v>1</v>
      </c>
      <c r="AP2" t="s">
        <v>37</v>
      </c>
      <c r="AV2" t="s">
        <v>175</v>
      </c>
      <c r="AW2">
        <v>70</v>
      </c>
      <c r="AX2" t="s">
        <v>62</v>
      </c>
      <c r="AZ2" t="s">
        <v>175</v>
      </c>
      <c r="BA2">
        <v>100</v>
      </c>
      <c r="BB2" t="s">
        <v>95</v>
      </c>
      <c r="BD2" t="s">
        <v>175</v>
      </c>
      <c r="BE2">
        <v>1</v>
      </c>
      <c r="BF2" t="s">
        <v>219</v>
      </c>
      <c r="BH2" t="s">
        <v>175</v>
      </c>
      <c r="BI2">
        <v>1</v>
      </c>
      <c r="BJ2" t="s">
        <v>240</v>
      </c>
      <c r="BL2" t="s">
        <v>175</v>
      </c>
      <c r="BM2">
        <v>1</v>
      </c>
      <c r="BN2" t="s">
        <v>257</v>
      </c>
    </row>
    <row r="3" spans="2:66" x14ac:dyDescent="0.25">
      <c r="B3" t="s">
        <v>4</v>
      </c>
      <c r="C3" cm="1">
        <f t="array" ref="C3">fluidStandardConditions(C2,"T")</f>
        <v>273.14999999999998</v>
      </c>
      <c r="D3" t="s">
        <v>2</v>
      </c>
      <c r="G3" cm="1">
        <f t="array" ref="G3">fluidConvert($G$2,$H$2,H3)</f>
        <v>1</v>
      </c>
      <c r="H3" t="s">
        <v>35</v>
      </c>
      <c r="K3" cm="1">
        <f t="array" ref="K3">fluidConvert($K$2,$L$2,L3)</f>
        <v>1E-4</v>
      </c>
      <c r="L3" t="s">
        <v>10</v>
      </c>
      <c r="O3" cm="1">
        <f t="array" ref="O3">fluidConvert(O$2,$P$2,P3)</f>
        <v>1</v>
      </c>
      <c r="P3" t="s">
        <v>24</v>
      </c>
      <c r="R3" t="s">
        <v>43</v>
      </c>
      <c r="S3" t="s">
        <v>44</v>
      </c>
      <c r="T3" t="s">
        <v>45</v>
      </c>
      <c r="X3" t="s">
        <v>43</v>
      </c>
      <c r="Y3" t="s">
        <v>44</v>
      </c>
      <c r="Z3" t="s">
        <v>45</v>
      </c>
      <c r="AD3" t="s">
        <v>66</v>
      </c>
      <c r="AE3">
        <f>CONVERT(AG3,"F","K")</f>
        <v>288.14999999999998</v>
      </c>
      <c r="AF3" t="s">
        <v>2</v>
      </c>
      <c r="AG3">
        <v>59</v>
      </c>
      <c r="AH3" t="s">
        <v>62</v>
      </c>
      <c r="AI3" t="s">
        <v>71</v>
      </c>
      <c r="AK3" t="s">
        <v>110</v>
      </c>
      <c r="AL3" t="str" cm="1">
        <f t="array" ref="AL3">fluidUnitType(AK3)</f>
        <v>Mass Flow</v>
      </c>
      <c r="AN3" t="s">
        <v>63</v>
      </c>
      <c r="AO3" s="1" cm="1">
        <f t="array" ref="AO3">fluidConvert(AO2,AP2,AP3)</f>
        <v>2.2046244201837776E-3</v>
      </c>
      <c r="AP3" t="s">
        <v>39</v>
      </c>
      <c r="AR3" t="s">
        <v>174</v>
      </c>
      <c r="BE3" cm="1">
        <f t="array" ref="BE3">fluidConvert(BE$2,BF$2,BF3)</f>
        <v>9.9999999999999995E-7</v>
      </c>
      <c r="BF3" t="s">
        <v>224</v>
      </c>
      <c r="BI3" cm="1">
        <f t="array" ref="BI3">fluidConvert(BI$2,BJ$2,BJ3)</f>
        <v>1.0000000000000001E-9</v>
      </c>
      <c r="BJ3" t="s">
        <v>239</v>
      </c>
      <c r="BM3" cm="1">
        <f t="array" ref="BM3">fluidConvert(BM$2,BN$2,BN3)</f>
        <v>9.9999999999999998E-13</v>
      </c>
      <c r="BN3" t="s">
        <v>256</v>
      </c>
    </row>
    <row r="4" spans="2:66" x14ac:dyDescent="0.25">
      <c r="B4" t="s">
        <v>5</v>
      </c>
      <c r="C4" cm="1">
        <f t="array" ref="C4">fluidStandardConditions(C2,"P")</f>
        <v>100000</v>
      </c>
      <c r="D4" t="s">
        <v>3</v>
      </c>
      <c r="G4" cm="1">
        <f t="array" ref="G4">fluidConvert($G$2,$H$2,H4)</f>
        <v>60</v>
      </c>
      <c r="H4" t="s">
        <v>110</v>
      </c>
      <c r="K4" cm="1">
        <f t="array" ref="K4">fluidConvert($K$2,$L$2,L4)</f>
        <v>6.0000000000000001E-3</v>
      </c>
      <c r="L4" t="s">
        <v>113</v>
      </c>
      <c r="O4" cm="1">
        <f t="array" ref="O4">fluidConvert(O$2,$P$2,P4)</f>
        <v>9.9999999999999995E-7</v>
      </c>
      <c r="P4" t="s">
        <v>25</v>
      </c>
      <c r="R4" t="s">
        <v>0</v>
      </c>
      <c r="S4" t="s">
        <v>61</v>
      </c>
      <c r="T4" t="s">
        <v>45</v>
      </c>
      <c r="X4" t="s">
        <v>0</v>
      </c>
      <c r="Y4" t="s">
        <v>73</v>
      </c>
      <c r="Z4" t="s">
        <v>45</v>
      </c>
      <c r="AD4" t="s">
        <v>67</v>
      </c>
      <c r="AE4">
        <f>CONVERT(AG4,"kPa","Pa")</f>
        <v>101325</v>
      </c>
      <c r="AF4" t="s">
        <v>3</v>
      </c>
      <c r="AG4">
        <v>101.325</v>
      </c>
      <c r="AH4" t="s">
        <v>70</v>
      </c>
      <c r="AI4" t="s">
        <v>72</v>
      </c>
      <c r="AK4" t="s">
        <v>36</v>
      </c>
      <c r="AL4" t="str" cm="1">
        <f t="array" ref="AL4">fluidUnitType(AK4)</f>
        <v>Mass Flow</v>
      </c>
      <c r="AN4" t="s">
        <v>43</v>
      </c>
      <c r="AO4" t="s">
        <v>88</v>
      </c>
      <c r="AP4" t="s">
        <v>45</v>
      </c>
      <c r="AS4" cm="1">
        <f t="array" ref="AS4">fluidConvert($AS$1,$AT$1,AT4)</f>
        <v>0.1</v>
      </c>
      <c r="AT4" t="s">
        <v>132</v>
      </c>
      <c r="AW4" cm="1">
        <f t="array" ref="AW4">fluidConvert($AW$2,$AX$2,AX4)</f>
        <v>70</v>
      </c>
      <c r="AX4" t="s">
        <v>62</v>
      </c>
      <c r="BA4" cm="1">
        <f t="array" ref="BA4">fluidConvert($BA$2,$BB$2,BB4)</f>
        <v>100.00000000000001</v>
      </c>
      <c r="BB4" t="s">
        <v>9</v>
      </c>
      <c r="BE4" cm="1">
        <f t="array" ref="BE4">fluidConvert(BE$2,BF$2,BF4)</f>
        <v>1</v>
      </c>
      <c r="BF4" t="s">
        <v>219</v>
      </c>
      <c r="BI4" cm="1">
        <f t="array" ref="BI4">fluidConvert(BI$2,BJ$2,BJ4)</f>
        <v>1</v>
      </c>
      <c r="BJ4" t="s">
        <v>240</v>
      </c>
      <c r="BM4" cm="1">
        <f t="array" ref="BM4">fluidConvert(BM$2,BN$2,BN4)</f>
        <v>1</v>
      </c>
      <c r="BN4" t="s">
        <v>257</v>
      </c>
    </row>
    <row r="5" spans="2:66" x14ac:dyDescent="0.25">
      <c r="B5" t="s">
        <v>6</v>
      </c>
      <c r="C5" cm="1">
        <f t="array" ref="C5">fluidStandardConditions(C2,"T",FALSE)</f>
        <v>491.66999999999996</v>
      </c>
      <c r="D5" t="s">
        <v>8</v>
      </c>
      <c r="G5" cm="1">
        <f t="array" ref="G5">fluidConvert($G$2,$H$2,H5)</f>
        <v>3600</v>
      </c>
      <c r="H5" t="s">
        <v>36</v>
      </c>
      <c r="K5" cm="1">
        <f t="array" ref="K5">fluidConvert($K$2,$L$2,L5)</f>
        <v>0.36000000000000004</v>
      </c>
      <c r="L5" t="s">
        <v>11</v>
      </c>
      <c r="O5" cm="1">
        <f t="array" ref="O5">fluidConvert(O$2,$P$2,P5)</f>
        <v>1E-3</v>
      </c>
      <c r="P5" t="s">
        <v>26</v>
      </c>
      <c r="S5" cm="1">
        <f t="array" ref="S5">fluidConvert($S$2,$T$2,T5,$S$3,$S$4)</f>
        <v>7.5924348856640559E-4</v>
      </c>
      <c r="T5" t="s">
        <v>46</v>
      </c>
      <c r="U5" cm="1">
        <f t="array" ref="U5">fluidConvert(S5,T5,V5,$S$3,$S$4)</f>
        <v>1</v>
      </c>
      <c r="V5" t="s">
        <v>37</v>
      </c>
      <c r="Y5" t="s">
        <v>76</v>
      </c>
      <c r="Z5" t="s">
        <v>77</v>
      </c>
      <c r="AA5" t="s">
        <v>74</v>
      </c>
      <c r="AB5" t="s">
        <v>75</v>
      </c>
      <c r="AD5" t="s">
        <v>68</v>
      </c>
      <c r="AE5">
        <f>AE4/AE2/AE3</f>
        <v>1.3533110957802672</v>
      </c>
      <c r="AF5" t="s">
        <v>24</v>
      </c>
      <c r="AK5" t="s">
        <v>37</v>
      </c>
      <c r="AL5" t="str" cm="1">
        <f t="array" ref="AL5">fluidUnitType(AK5)</f>
        <v>Mass Flow</v>
      </c>
      <c r="AN5" t="s">
        <v>87</v>
      </c>
      <c r="AO5" cm="1">
        <f t="array" ref="AO5">fluidConvert(AO2,AP2,AP5,AO4)</f>
        <v>8.1071494665068376E-4</v>
      </c>
      <c r="AP5" t="s">
        <v>46</v>
      </c>
      <c r="AS5" cm="1">
        <f t="array" ref="AS5">fluidConvert($AS$1,$AT$1,AT5)</f>
        <v>100</v>
      </c>
      <c r="AT5" t="s">
        <v>133</v>
      </c>
      <c r="AW5" cm="1">
        <f t="array" ref="AW5">fluidConvert($AW$2,$AX$2,AX5)</f>
        <v>70</v>
      </c>
      <c r="AX5" t="s">
        <v>178</v>
      </c>
      <c r="BA5" cm="1">
        <f t="array" ref="BA5">fluidConvert($BA$2,$BB$2,BB5)</f>
        <v>100.00000000000001</v>
      </c>
      <c r="BB5" t="s">
        <v>196</v>
      </c>
      <c r="BE5" cm="1">
        <f t="array" ref="BE5">fluidConvert(BE$2,BF$2,BF5)</f>
        <v>10000</v>
      </c>
      <c r="BF5" t="s">
        <v>225</v>
      </c>
      <c r="BI5" cm="1">
        <f t="array" ref="BI5">fluidConvert(BI$2,BJ$2,BJ5)</f>
        <v>1000000</v>
      </c>
      <c r="BJ5" t="s">
        <v>241</v>
      </c>
      <c r="BM5" cm="1">
        <f t="array" ref="BM5">fluidConvert(BM$2,BN$2,BN5)</f>
        <v>100000000</v>
      </c>
      <c r="BN5" t="s">
        <v>258</v>
      </c>
    </row>
    <row r="6" spans="2:66" x14ac:dyDescent="0.25">
      <c r="B6" t="s">
        <v>7</v>
      </c>
      <c r="C6" cm="1">
        <f t="array" ref="C6">fluidStandardConditions(C2,"P",FALSE)</f>
        <v>14.5038</v>
      </c>
      <c r="D6" t="s">
        <v>9</v>
      </c>
      <c r="G6" cm="1">
        <f t="array" ref="G6">fluidConvert($G$2,$H$2,H6)</f>
        <v>1000</v>
      </c>
      <c r="H6" t="s">
        <v>37</v>
      </c>
      <c r="K6" cm="1">
        <f t="array" ref="K6">fluidConvert($K$2,$L$2,L6)</f>
        <v>100</v>
      </c>
      <c r="L6" t="s">
        <v>12</v>
      </c>
      <c r="O6" cm="1">
        <f t="array" ref="O6">fluidConvert(O$2,$P$2,P6)</f>
        <v>1000</v>
      </c>
      <c r="P6" t="s">
        <v>27</v>
      </c>
      <c r="S6" cm="1">
        <f t="array" ref="S6">fluidConvert($S$2,$T$2,T6,$S$3,$S$4)</f>
        <v>4.5554609313984334E-2</v>
      </c>
      <c r="T6" t="s">
        <v>47</v>
      </c>
      <c r="U6" cm="1">
        <f t="array" ref="U6">fluidConvert(S6,T6,V6,$S$3,$S$4)</f>
        <v>1</v>
      </c>
      <c r="V6" t="s">
        <v>37</v>
      </c>
      <c r="Y6" cm="1">
        <f t="array" ref="Y6">fluidConvert($Y$2,$Z$2,Z6,$Y$3,$Y$4)</f>
        <v>2705.5412143757962</v>
      </c>
      <c r="Z6" t="s">
        <v>59</v>
      </c>
      <c r="AA6">
        <v>2704.7220000000002</v>
      </c>
      <c r="AB6">
        <f>Y6-AA6</f>
        <v>0.81921437579603662</v>
      </c>
      <c r="AD6" t="s">
        <v>69</v>
      </c>
      <c r="AE6">
        <f>AE1/AE5</f>
        <v>7.3892839799960292E-4</v>
      </c>
      <c r="AF6" t="s">
        <v>10</v>
      </c>
      <c r="AK6" t="s">
        <v>111</v>
      </c>
      <c r="AL6" t="str" cm="1">
        <f t="array" ref="AL6">fluidUnitType(AK6)</f>
        <v>Mass Flow</v>
      </c>
      <c r="AS6" cm="1">
        <f t="array" ref="AS6">fluidConvert($AS$1,$AT$1,AT6)</f>
        <v>10000</v>
      </c>
      <c r="AT6" t="s">
        <v>134</v>
      </c>
      <c r="AW6" cm="1">
        <f t="array" ref="AW6">fluidConvert($AW$2,$AX$2,AX6)</f>
        <v>21.111111111111111</v>
      </c>
      <c r="AX6" t="s">
        <v>177</v>
      </c>
      <c r="BA6" cm="1">
        <f t="array" ref="BA6">fluidConvert($BA$2,$BB$2,BB6)</f>
        <v>100.00000000000001</v>
      </c>
      <c r="BB6" t="s">
        <v>95</v>
      </c>
      <c r="BE6" cm="1">
        <f t="array" ref="BE6">fluidConvert(BE$2,BF$2,BF6)</f>
        <v>1000000</v>
      </c>
      <c r="BF6" t="s">
        <v>226</v>
      </c>
      <c r="BI6" cm="1">
        <f t="array" ref="BI6">fluidConvert(BI$2,BJ$2,BJ6)</f>
        <v>1000000000</v>
      </c>
      <c r="BJ6" t="s">
        <v>242</v>
      </c>
      <c r="BM6" cm="1">
        <f t="array" ref="BM6">fluidConvert(BM$2,BN$2,BN6)</f>
        <v>1000000000000</v>
      </c>
      <c r="BN6" t="s">
        <v>259</v>
      </c>
    </row>
    <row r="7" spans="2:66" x14ac:dyDescent="0.25">
      <c r="G7" cm="1">
        <f t="array" ref="G7">fluidConvert($G$2,$H$2,H7)</f>
        <v>60000</v>
      </c>
      <c r="H7" t="s">
        <v>111</v>
      </c>
      <c r="K7" cm="1">
        <f t="array" ref="K7">fluidConvert($K$2,$L$2,L7)</f>
        <v>6000</v>
      </c>
      <c r="L7" t="s">
        <v>114</v>
      </c>
      <c r="O7" cm="1">
        <f t="array" ref="O7">fluidConvert(O$2,$P$2,P7)</f>
        <v>1</v>
      </c>
      <c r="P7" t="s">
        <v>28</v>
      </c>
      <c r="S7" cm="1">
        <f t="array" ref="S7">fluidConvert($S$2,$T$2,T7,$S$3,$S$4)</f>
        <v>2.73327655883906</v>
      </c>
      <c r="T7" t="s">
        <v>48</v>
      </c>
      <c r="U7" cm="1">
        <f t="array" ref="U7">fluidConvert(S7,T7,V7,$S$3,$S$4)</f>
        <v>1</v>
      </c>
      <c r="V7" t="s">
        <v>37</v>
      </c>
      <c r="Y7" cm="1">
        <f t="array" ref="Y7">fluidConvert($Y$2,$Z$2,Z7,$Y$3,$Y$4)</f>
        <v>1.5657031825621601</v>
      </c>
      <c r="Z7" t="s">
        <v>56</v>
      </c>
      <c r="AA7">
        <v>1.565232</v>
      </c>
      <c r="AB7">
        <f t="shared" ref="AB7:AB11" si="0">Y7-AA7</f>
        <v>4.7118256216016619E-4</v>
      </c>
      <c r="AE7" cm="1">
        <f t="array" ref="AE7">fluidConvert(AE6,AF6,AF7)</f>
        <v>738.92839799960291</v>
      </c>
      <c r="AF7" t="s">
        <v>23</v>
      </c>
      <c r="AG7">
        <v>738.7079</v>
      </c>
      <c r="AH7">
        <f>AE7-AG7</f>
        <v>0.22049799960291239</v>
      </c>
      <c r="AK7" t="s">
        <v>38</v>
      </c>
      <c r="AL7" t="str" cm="1">
        <f t="array" ref="AL7">fluidUnitType(AK7)</f>
        <v>Mass Flow</v>
      </c>
      <c r="AN7" t="s">
        <v>89</v>
      </c>
      <c r="AO7">
        <v>1</v>
      </c>
      <c r="AP7" t="s">
        <v>23</v>
      </c>
      <c r="AS7" cm="1">
        <f t="array" ref="AS7">fluidConvert($AS$1,$AT$1,AT7)</f>
        <v>100000</v>
      </c>
      <c r="AT7" t="s">
        <v>135</v>
      </c>
      <c r="AW7" cm="1">
        <f t="array" ref="AW7">fluidConvert($AW$2,$AX$2,AX7)</f>
        <v>21.111111111111111</v>
      </c>
      <c r="AX7" t="s">
        <v>179</v>
      </c>
      <c r="BA7" cm="1">
        <f t="array" ref="BA7">fluidConvert($BA$2,$BB$2,BB7)</f>
        <v>0.10000000000000002</v>
      </c>
      <c r="BB7" t="s">
        <v>207</v>
      </c>
      <c r="BE7" cm="1">
        <f t="array" ref="BE7">fluidConvert(BE$2,BF$2,BF7)</f>
        <v>1550.0031000061999</v>
      </c>
      <c r="BF7" t="s">
        <v>218</v>
      </c>
      <c r="BI7" cm="1">
        <f t="array" ref="BI7">fluidConvert(BI$2,BJ$2,BJ7)</f>
        <v>61023.744094732283</v>
      </c>
      <c r="BJ7" t="s">
        <v>243</v>
      </c>
      <c r="BM7" cm="1">
        <f t="array" ref="BM7">fluidConvert(BM$2,BN$2,BN7)</f>
        <v>2402509.6100288299</v>
      </c>
      <c r="BN7" t="s">
        <v>260</v>
      </c>
    </row>
    <row r="8" spans="2:66" x14ac:dyDescent="0.25">
      <c r="G8" cm="1">
        <f t="array" ref="G8">fluidConvert($G$2,$H$2,H8)</f>
        <v>3600000</v>
      </c>
      <c r="H8" t="s">
        <v>38</v>
      </c>
      <c r="K8" cm="1">
        <f t="array" ref="K8">fluidConvert($K$2,$L$2,L8)</f>
        <v>360000</v>
      </c>
      <c r="L8" t="s">
        <v>13</v>
      </c>
      <c r="O8" cm="1">
        <f t="array" ref="O8">fluidConvert(O$2,$P$2,P8)</f>
        <v>3.6127298147753422E-5</v>
      </c>
      <c r="P8" t="s">
        <v>29</v>
      </c>
      <c r="S8" cm="1">
        <f t="array" ref="S8">fluidConvert($S$2,$T$2,T8,$S$3,$S$4)</f>
        <v>0.75924348856640556</v>
      </c>
      <c r="T8" t="s">
        <v>49</v>
      </c>
      <c r="U8" cm="1">
        <f t="array" ref="U8">fluidConvert(S8,T8,V8,$S$3,$S$4)</f>
        <v>1</v>
      </c>
      <c r="V8" t="s">
        <v>37</v>
      </c>
      <c r="Y8" cm="1">
        <f t="array" ref="Y8">fluidConvert($Y$2,$Z$2,Z8,$Y$3,$Y$4)</f>
        <v>44.335703879976172</v>
      </c>
      <c r="Z8" t="s">
        <v>50</v>
      </c>
      <c r="AA8">
        <v>44.322479999999999</v>
      </c>
      <c r="AB8">
        <f t="shared" si="0"/>
        <v>1.3223879976173691E-2</v>
      </c>
      <c r="AK8" t="s">
        <v>39</v>
      </c>
      <c r="AL8" t="str" cm="1">
        <f t="array" ref="AL8">fluidUnitType(AK8)</f>
        <v>Mass Flow</v>
      </c>
      <c r="AN8" t="s">
        <v>90</v>
      </c>
      <c r="AO8" cm="1">
        <f t="array" ref="AO8">fluidConvert(AO7,AP7,AP8)</f>
        <v>9.9999999999999995E-7</v>
      </c>
      <c r="AP8" t="s">
        <v>10</v>
      </c>
      <c r="AS8" cm="1">
        <f t="array" ref="AS8">fluidConvert($AS$1,$AT$1,AT8)</f>
        <v>3937.0078740157483</v>
      </c>
      <c r="AT8" t="s">
        <v>136</v>
      </c>
      <c r="AW8" cm="1">
        <f t="array" ref="AW8">fluidConvert($AW$2,$AX$2,AX8)</f>
        <v>294.26111111111106</v>
      </c>
      <c r="AX8" t="s">
        <v>2</v>
      </c>
      <c r="BA8" cm="1">
        <f t="array" ref="BA8">fluidConvert($BA$2,$BB$2,BB8)</f>
        <v>100.00000000000001</v>
      </c>
      <c r="BB8" t="s">
        <v>197</v>
      </c>
      <c r="BE8" cm="1">
        <f t="array" ref="BE8">fluidConvert(BE$2,BF$2,BF8)</f>
        <v>10.763910416709722</v>
      </c>
      <c r="BF8" t="s">
        <v>227</v>
      </c>
      <c r="BI8" cm="1">
        <f t="array" ref="BI8">fluidConvert(BI$2,BJ$2,BJ8)</f>
        <v>35.314666721488592</v>
      </c>
      <c r="BJ8" t="s">
        <v>244</v>
      </c>
      <c r="BM8" cm="1">
        <f t="array" ref="BM8">fluidConvert(BM$2,BN$2,BN8)</f>
        <v>115.86176745895206</v>
      </c>
      <c r="BN8" t="s">
        <v>261</v>
      </c>
    </row>
    <row r="9" spans="2:66" x14ac:dyDescent="0.25">
      <c r="B9" t="s">
        <v>41</v>
      </c>
      <c r="C9" cm="1">
        <f t="array" ref="C9">fluidUniversalGasConstant()</f>
        <v>8.3144597999999998</v>
      </c>
      <c r="G9" cm="1">
        <f t="array" ref="G9">fluidConvert($G$2,$H$2,H9)</f>
        <v>2.2046244201837775</v>
      </c>
      <c r="H9" t="s">
        <v>39</v>
      </c>
      <c r="K9" cm="1">
        <f t="array" ref="K9">fluidConvert($K$2,$L$2,L9)</f>
        <v>0.1</v>
      </c>
      <c r="L9" t="s">
        <v>14</v>
      </c>
      <c r="O9" cm="1">
        <f t="array" ref="O9">fluidConvert(O$2,$P$2,P9)</f>
        <v>6.2429766512673242E-2</v>
      </c>
      <c r="P9" t="s">
        <v>30</v>
      </c>
      <c r="S9" cm="1">
        <f t="array" ref="S9">fluidConvert($S$2,$T$2,T9,$S$3,$S$4)</f>
        <v>45.554609313984336</v>
      </c>
      <c r="T9" t="s">
        <v>50</v>
      </c>
      <c r="U9" cm="1">
        <f t="array" ref="U9">fluidConvert(S9,T9,V9,$S$3,$S$4)</f>
        <v>1</v>
      </c>
      <c r="V9" t="s">
        <v>37</v>
      </c>
      <c r="Y9" cm="1">
        <f t="array" ref="Y9">fluidConvert($Y$2,$Z$2,Z9,$Y$3,$Y$4)</f>
        <v>0.73892839799960297</v>
      </c>
      <c r="Z9" t="s">
        <v>49</v>
      </c>
      <c r="AA9">
        <v>0.73870800000000003</v>
      </c>
      <c r="AB9">
        <f t="shared" si="0"/>
        <v>2.2039799960293927E-4</v>
      </c>
      <c r="AK9" t="s">
        <v>112</v>
      </c>
      <c r="AL9" t="str" cm="1">
        <f t="array" ref="AL9">fluidUnitType(AK9)</f>
        <v>Mass Flow</v>
      </c>
      <c r="AS9" cm="1">
        <f t="array" ref="AS9">fluidConvert($AS$1,$AT$1,AT9)</f>
        <v>328.08398950131232</v>
      </c>
      <c r="AT9" t="s">
        <v>137</v>
      </c>
      <c r="AW9" cm="1">
        <f t="array" ref="AW9">fluidConvert($AW$2,$AX$2,AX9)</f>
        <v>529.67000000000007</v>
      </c>
      <c r="AX9" t="s">
        <v>8</v>
      </c>
      <c r="BA9" cm="1">
        <f t="array" ref="BA9">fluidConvert($BA$2,$BB$2,BB9)</f>
        <v>100.00000000000001</v>
      </c>
      <c r="BB9" t="s">
        <v>198</v>
      </c>
      <c r="BE9" cm="1">
        <f t="array" ref="BE9">fluidConvert(BE$2,BF$2,BF9)</f>
        <v>1.1959900463010802</v>
      </c>
      <c r="BF9" t="s">
        <v>228</v>
      </c>
      <c r="BI9" cm="1">
        <f t="array" ref="BI9">fluidConvert(BI$2,BJ$2,BJ9)</f>
        <v>1.3079506193143922</v>
      </c>
      <c r="BJ9" t="s">
        <v>245</v>
      </c>
      <c r="BM9" cm="1">
        <f t="array" ref="BM9">fluidConvert(BM$2,BN$2,BN9)</f>
        <v>1.43039219085126</v>
      </c>
      <c r="BN9" t="s">
        <v>262</v>
      </c>
    </row>
    <row r="10" spans="2:66" x14ac:dyDescent="0.25">
      <c r="G10" cm="1">
        <f t="array" ref="G10">fluidConvert($G$2,$H$2,H10)</f>
        <v>132.27746521102665</v>
      </c>
      <c r="H10" t="s">
        <v>112</v>
      </c>
      <c r="K10" cm="1">
        <f t="array" ref="K10">fluidConvert($K$2,$L$2,L10)</f>
        <v>6</v>
      </c>
      <c r="L10" t="s">
        <v>115</v>
      </c>
      <c r="O10" cm="1">
        <f t="array" ref="O10">fluidConvert(O$2,$P$2,P10)</f>
        <v>8.3454342129421002E-3</v>
      </c>
      <c r="P10" t="s">
        <v>31</v>
      </c>
      <c r="S10" cm="1">
        <f t="array" ref="S10">fluidConvert($S$2,$T$2,T10,$S$3,$S$4)</f>
        <v>2733.2765588390603</v>
      </c>
      <c r="T10" t="s">
        <v>51</v>
      </c>
      <c r="U10" cm="1">
        <f t="array" ref="U10">fluidConvert(S10,T10,V10,$S$3,$S$4)</f>
        <v>1</v>
      </c>
      <c r="V10" t="s">
        <v>37</v>
      </c>
      <c r="Y10" cm="1">
        <f t="array" ref="Y10">fluidConvert($Y$2,$Z$2,Z10,$Y$3,$Y$4)</f>
        <v>44335.703879976172</v>
      </c>
      <c r="Z10" t="s">
        <v>53</v>
      </c>
      <c r="AA10">
        <v>44322.48</v>
      </c>
      <c r="AB10">
        <f t="shared" si="0"/>
        <v>13.223879976168973</v>
      </c>
      <c r="AK10" t="s">
        <v>40</v>
      </c>
      <c r="AL10" t="str" cm="1">
        <f t="array" ref="AL10">fluidUnitType(AK10)</f>
        <v>Mass Flow</v>
      </c>
      <c r="AN10" t="s">
        <v>91</v>
      </c>
      <c r="AO10">
        <v>1</v>
      </c>
      <c r="AP10" t="s">
        <v>24</v>
      </c>
      <c r="AS10" cm="1">
        <f t="array" ref="AS10">fluidConvert($AS$1,$AT$1,AT10)</f>
        <v>109.36132983377078</v>
      </c>
      <c r="AT10" t="s">
        <v>138</v>
      </c>
      <c r="AW10" cm="1">
        <f t="array" ref="AW10">fluidConvert($AW$2,$AX$2,AX10)</f>
        <v>529.67000000000007</v>
      </c>
      <c r="AX10" t="s">
        <v>180</v>
      </c>
      <c r="BA10" cm="1">
        <f t="array" ref="BA10">fluidConvert($BA$2,$BB$2,BB10)</f>
        <v>5171.507548017853</v>
      </c>
      <c r="BB10" t="s">
        <v>199</v>
      </c>
      <c r="BE10" cm="1">
        <f t="array" ref="BE10">fluidConvert(BE$2,BF$2,BF10)</f>
        <v>3.8610215854244582E-7</v>
      </c>
      <c r="BF10" t="s">
        <v>229</v>
      </c>
      <c r="BI10" cm="1">
        <f t="array" ref="BI10">fluidConvert(BI$2,BJ$2,BJ10)</f>
        <v>2.3991275857892774E-10</v>
      </c>
      <c r="BJ10" t="s">
        <v>246</v>
      </c>
      <c r="BM10" cm="1">
        <f t="array" ref="BM10">fluidConvert(BM$2,BN$2,BN10)</f>
        <v>1.4907487683113597E-13</v>
      </c>
      <c r="BN10" t="s">
        <v>263</v>
      </c>
    </row>
    <row r="11" spans="2:66" x14ac:dyDescent="0.25">
      <c r="G11" cm="1">
        <f t="array" ref="G11">fluidConvert($G$2,$H$2,H11)</f>
        <v>7936.6479126615986</v>
      </c>
      <c r="H11" t="s">
        <v>40</v>
      </c>
      <c r="K11" cm="1">
        <f t="array" ref="K11">fluidConvert($K$2,$L$2,L11)</f>
        <v>360</v>
      </c>
      <c r="L11" t="s">
        <v>15</v>
      </c>
      <c r="S11" cm="1">
        <f t="array" ref="S11">fluidConvert($S$2,$T$2,T11,$S$3,$S$4)</f>
        <v>759.24348856640563</v>
      </c>
      <c r="T11" t="s">
        <v>52</v>
      </c>
      <c r="U11" cm="1">
        <f t="array" ref="U11">fluidConvert(S11,T11,V11,$S$3,$S$4)</f>
        <v>1</v>
      </c>
      <c r="V11" t="s">
        <v>37</v>
      </c>
      <c r="Y11" cm="1">
        <f t="array" ref="Y11">fluidConvert($Y$2,$Z$2,Z11,$Y$3,$Y$4)</f>
        <v>738.92839799960291</v>
      </c>
      <c r="Z11" t="s">
        <v>52</v>
      </c>
      <c r="AA11">
        <v>738.7079</v>
      </c>
      <c r="AB11">
        <f t="shared" si="0"/>
        <v>0.22049799960291239</v>
      </c>
      <c r="AN11" t="s">
        <v>92</v>
      </c>
      <c r="AO11" cm="1">
        <f t="array" ref="AO11">fluidConvert(AO10,AP10,AP11)</f>
        <v>3.6127298147753422E-5</v>
      </c>
      <c r="AP11" t="s">
        <v>29</v>
      </c>
      <c r="AS11" cm="1">
        <f t="array" ref="AS11">fluidConvert($AS$1,$AT$1,AT11)</f>
        <v>6.2137119223733397E-2</v>
      </c>
      <c r="AT11" t="s">
        <v>139</v>
      </c>
      <c r="AW11" cm="1">
        <f t="array" ref="AW11">fluidConvert($AW$2,$AX$2,AX11)</f>
        <v>529.67000000000007</v>
      </c>
      <c r="AX11" t="s">
        <v>181</v>
      </c>
      <c r="BA11" cm="1">
        <f t="array" ref="BA11">fluidConvert($BA$2,$BB$2,BB11)</f>
        <v>6.8045963909877738</v>
      </c>
      <c r="BB11" t="s">
        <v>200</v>
      </c>
      <c r="BE11" cm="1">
        <f t="array" ref="BE11">fluidConvert(BE$2,BF$2,BF11)</f>
        <v>9.9999999999999995E-7</v>
      </c>
      <c r="BF11" t="s">
        <v>230</v>
      </c>
      <c r="BI11" cm="1">
        <f t="array" ref="BI11">fluidConvert(BI$2,BJ$2,BJ11)</f>
        <v>1000000</v>
      </c>
      <c r="BJ11" t="s">
        <v>273</v>
      </c>
      <c r="BM11" cm="1">
        <f t="array" ref="BM11">fluidConvert(BM$2,BN$2,BN11)</f>
        <v>9.9999999999999998E-13</v>
      </c>
      <c r="BN11" t="s">
        <v>264</v>
      </c>
    </row>
    <row r="12" spans="2:66" x14ac:dyDescent="0.25">
      <c r="K12" cm="1">
        <f t="array" ref="K12">fluidConvert($K$2,$L$2,L12)</f>
        <v>6.102398242509306</v>
      </c>
      <c r="L12" t="s">
        <v>16</v>
      </c>
      <c r="S12" cm="1">
        <f t="array" ref="S12">fluidConvert($S$2,$T$2,T12,$S$3,$S$4)</f>
        <v>45554.609313984336</v>
      </c>
      <c r="T12" t="s">
        <v>53</v>
      </c>
      <c r="U12" cm="1">
        <f t="array" ref="U12">fluidConvert(S12,T12,V12,$S$3,$S$4)</f>
        <v>1</v>
      </c>
      <c r="V12" t="s">
        <v>37</v>
      </c>
      <c r="AK12" t="s">
        <v>126</v>
      </c>
      <c r="AS12" cm="1">
        <f t="array" ref="AS12">fluidConvert($AS$1,$AT$1,AT12)</f>
        <v>6</v>
      </c>
      <c r="AT12" t="s">
        <v>140</v>
      </c>
      <c r="BA12" cm="1">
        <f t="array" ref="BA12">fluidConvert($BA$2,$BB$2,BB12)</f>
        <v>689475.72931683622</v>
      </c>
      <c r="BB12" t="s">
        <v>3</v>
      </c>
      <c r="BE12" cm="1">
        <f t="array" ref="BE12">fluidConvert(BE$2,BF$2,BF12)</f>
        <v>1</v>
      </c>
      <c r="BF12" t="s">
        <v>231</v>
      </c>
      <c r="BI12" cm="1">
        <f t="array" ref="BI12">fluidConvert(BI$2,BJ$2,BJ12)</f>
        <v>1000000</v>
      </c>
      <c r="BJ12" t="s">
        <v>274</v>
      </c>
      <c r="BM12" cm="1">
        <f t="array" ref="BM12">fluidConvert(BM$2,BN$2,BN12)</f>
        <v>1</v>
      </c>
      <c r="BN12" t="s">
        <v>265</v>
      </c>
    </row>
    <row r="13" spans="2:66" x14ac:dyDescent="0.25">
      <c r="K13" cm="1">
        <f t="array" ref="K13">fluidConvert($K$2,$L$2,L13)</f>
        <v>366.14389455055834</v>
      </c>
      <c r="L13" t="s">
        <v>116</v>
      </c>
      <c r="S13" cm="1">
        <f t="array" ref="S13">fluidConvert($S$2,$T$2,T13,$S$3,$S$4)</f>
        <v>2733276.5588390599</v>
      </c>
      <c r="T13" t="s">
        <v>54</v>
      </c>
      <c r="U13" cm="1">
        <f t="array" ref="U13">fluidConvert(S13,T13,V13,$S$3,$S$4)</f>
        <v>0.99999999999999978</v>
      </c>
      <c r="V13" t="s">
        <v>37</v>
      </c>
      <c r="AK13" t="s">
        <v>23</v>
      </c>
      <c r="AL13" t="str" cm="1">
        <f t="array" ref="AL13">fluidUnitType(AK13)</f>
        <v>Volume Flow</v>
      </c>
      <c r="AN13" t="s">
        <v>93</v>
      </c>
      <c r="AO13">
        <f>AO5</f>
        <v>8.1071494665068376E-4</v>
      </c>
      <c r="AP13" t="s">
        <v>52</v>
      </c>
      <c r="AS13" cm="1">
        <f t="array" ref="AS13">fluidConvert($AS$1,$AT$1,AT13)</f>
        <v>6000</v>
      </c>
      <c r="AT13" t="s">
        <v>141</v>
      </c>
      <c r="BA13" cm="1">
        <f t="array" ref="BA13">fluidConvert($BA$2,$BB$2,BB13)</f>
        <v>689.47572931683624</v>
      </c>
      <c r="BB13" t="s">
        <v>70</v>
      </c>
      <c r="BE13" cm="1">
        <f t="array" ref="BE13">fluidConvert(BE$2,BF$2,BF13)</f>
        <v>10000</v>
      </c>
      <c r="BF13" t="s">
        <v>232</v>
      </c>
      <c r="BI13" cm="1">
        <f t="array" ref="BI13">fluidConvert(BI$2,BJ$2,BJ13)</f>
        <v>1000</v>
      </c>
      <c r="BJ13" t="s">
        <v>272</v>
      </c>
      <c r="BM13" cm="1">
        <f t="array" ref="BM13">fluidConvert(BM$2,BN$2,BN13)</f>
        <v>100000000</v>
      </c>
      <c r="BN13" t="s">
        <v>266</v>
      </c>
    </row>
    <row r="14" spans="2:66" x14ac:dyDescent="0.25">
      <c r="K14" cm="1">
        <f t="array" ref="K14">fluidConvert($K$2,$L$2,L14)</f>
        <v>21968.633673033502</v>
      </c>
      <c r="L14" t="s">
        <v>17</v>
      </c>
      <c r="S14" cm="1">
        <f t="array" ref="S14">fluidConvert($S$2,$T$2,T14,$S$3,$S$4)</f>
        <v>2.6812474875918382E-2</v>
      </c>
      <c r="T14" t="s">
        <v>55</v>
      </c>
      <c r="U14" cm="1">
        <f t="array" ref="U14">fluidConvert(S14,T14,V14,$S$3,$S$4)</f>
        <v>1</v>
      </c>
      <c r="V14" t="s">
        <v>37</v>
      </c>
      <c r="AK14" t="s">
        <v>10</v>
      </c>
      <c r="AL14" t="str" cm="1">
        <f t="array" ref="AL14">fluidUnitType(AK14)</f>
        <v>Volume Flow</v>
      </c>
      <c r="AN14" t="s">
        <v>94</v>
      </c>
      <c r="AO14" cm="1">
        <f t="array" ref="AO14">fluidConvert(AO13,AP13,AP14)</f>
        <v>4.8642896799041027E-5</v>
      </c>
      <c r="AP14" t="s">
        <v>50</v>
      </c>
      <c r="AS14" cm="1">
        <f t="array" ref="AS14">fluidConvert($AS$1,$AT$1,AT14)</f>
        <v>600000</v>
      </c>
      <c r="AT14" t="s">
        <v>142</v>
      </c>
      <c r="BA14" cm="1">
        <f t="array" ref="BA14">fluidConvert($BA$2,$BB$2,BB14)</f>
        <v>0.68947572931683621</v>
      </c>
      <c r="BB14" t="s">
        <v>201</v>
      </c>
      <c r="BE14" cm="1">
        <f t="array" ref="BE14">fluidConvert(BE$2,BF$2,BF14)</f>
        <v>1000000</v>
      </c>
      <c r="BF14" t="s">
        <v>233</v>
      </c>
      <c r="BI14" cm="1">
        <f t="array" ref="BI14">fluidConvert(BI$2,BJ$2,BJ14)</f>
        <v>264.17205235814845</v>
      </c>
      <c r="BJ14" t="s">
        <v>275</v>
      </c>
      <c r="BM14" cm="1">
        <f t="array" ref="BM14">fluidConvert(BM$2,BN$2,BN14)</f>
        <v>1000000000000</v>
      </c>
      <c r="BN14" t="s">
        <v>267</v>
      </c>
    </row>
    <row r="15" spans="2:66" x14ac:dyDescent="0.25">
      <c r="K15" cm="1">
        <f t="array" ref="K15">fluidConvert($K$2,$L$2,L15)</f>
        <v>3.5314724827664144E-3</v>
      </c>
      <c r="L15" t="s">
        <v>18</v>
      </c>
      <c r="S15" cm="1">
        <f t="array" ref="S15">fluidConvert($S$2,$T$2,T15,$S$3,$S$4)</f>
        <v>1.6087484925551028</v>
      </c>
      <c r="T15" t="s">
        <v>56</v>
      </c>
      <c r="U15" cm="1">
        <f t="array" ref="U15">fluidConvert(S15,T15,V15,$S$3,$S$4)</f>
        <v>1</v>
      </c>
      <c r="V15" t="s">
        <v>37</v>
      </c>
      <c r="AK15" t="s">
        <v>113</v>
      </c>
      <c r="AL15" t="str" cm="1">
        <f t="array" ref="AL15">fluidUnitType(AK15)</f>
        <v>Volume Flow</v>
      </c>
      <c r="AN15" t="s">
        <v>43</v>
      </c>
      <c r="AO15" t="str">
        <f>AO4</f>
        <v>N2</v>
      </c>
      <c r="AP15" t="s">
        <v>45</v>
      </c>
      <c r="AS15" cm="1">
        <f t="array" ref="AS15">fluidConvert($AS$1,$AT$1,AT15)</f>
        <v>6000000</v>
      </c>
      <c r="AT15" t="s">
        <v>143</v>
      </c>
      <c r="BA15" cm="1">
        <f t="array" ref="BA15">fluidConvert($BA$2,$BB$2,BB15)</f>
        <v>6.8947572931683625E-4</v>
      </c>
      <c r="BB15" t="s">
        <v>202</v>
      </c>
      <c r="BE15" cm="1">
        <f t="array" ref="BE15">fluidConvert(BE$2,BF$2,BF15)</f>
        <v>1550.0031000061999</v>
      </c>
      <c r="BF15" t="s">
        <v>234</v>
      </c>
      <c r="BI15" cm="1">
        <f t="array" ref="BI15">fluidConvert(BI$2,BJ$2,BJ15)</f>
        <v>1.0000000000000001E-9</v>
      </c>
      <c r="BJ15" t="s">
        <v>247</v>
      </c>
      <c r="BM15" cm="1">
        <f t="array" ref="BM15">fluidConvert(BM$2,BN$2,BN15)</f>
        <v>2402509.6100288299</v>
      </c>
      <c r="BN15" t="s">
        <v>268</v>
      </c>
    </row>
    <row r="16" spans="2:66" x14ac:dyDescent="0.25">
      <c r="K16" cm="1">
        <f t="array" ref="K16">fluidConvert($K$2,$L$2,L16)</f>
        <v>0.21188834896598488</v>
      </c>
      <c r="L16" t="s">
        <v>117</v>
      </c>
      <c r="S16" cm="1">
        <f t="array" ref="S16">fluidConvert($S$2,$T$2,T16,$S$3,$S$4)</f>
        <v>166795.42068951364</v>
      </c>
      <c r="T16" t="s">
        <v>57</v>
      </c>
      <c r="U16" cm="1">
        <f t="array" ref="U16">fluidConvert(S16,T16,V16,$S$3,$S$4)</f>
        <v>1</v>
      </c>
      <c r="V16" t="s">
        <v>37</v>
      </c>
      <c r="AK16" t="s">
        <v>11</v>
      </c>
      <c r="AL16" t="str" cm="1">
        <f t="array" ref="AL16">fluidUnitType(AK16)</f>
        <v>Volume Flow</v>
      </c>
      <c r="AN16" t="s">
        <v>63</v>
      </c>
      <c r="AO16" cm="1">
        <f t="array" ref="AO16">fluidConvert(AO13,AP13,AP16,AO15)</f>
        <v>1.0000000000000002E-6</v>
      </c>
      <c r="AP16" t="s">
        <v>37</v>
      </c>
      <c r="AS16" cm="1">
        <f t="array" ref="AS16">fluidConvert($AS$1,$AT$1,AT16)</f>
        <v>236220.47244094487</v>
      </c>
      <c r="AT16" t="s">
        <v>144</v>
      </c>
      <c r="BA16" cm="1">
        <f t="array" ref="BA16">fluidConvert($BA$2,$BB$2,BB16)</f>
        <v>5171.4932571507088</v>
      </c>
      <c r="BB16" t="s">
        <v>203</v>
      </c>
      <c r="BE16" cm="1">
        <f t="array" ref="BE16">fluidConvert(BE$2,BF$2,BF16)</f>
        <v>10.763910416709722</v>
      </c>
      <c r="BF16" t="s">
        <v>235</v>
      </c>
      <c r="BI16" cm="1">
        <f t="array" ref="BI16">fluidConvert(BI$2,BJ$2,BJ16)</f>
        <v>1</v>
      </c>
      <c r="BJ16" t="s">
        <v>248</v>
      </c>
      <c r="BM16" cm="1">
        <f t="array" ref="BM16">fluidConvert(BM$2,BN$2,BN16)</f>
        <v>115.86176745895206</v>
      </c>
      <c r="BN16" t="s">
        <v>269</v>
      </c>
    </row>
    <row r="17" spans="11:66" x14ac:dyDescent="0.25">
      <c r="K17" cm="1">
        <f t="array" ref="K17">fluidConvert($K$2,$L$2,L17)</f>
        <v>12.713300937959092</v>
      </c>
      <c r="L17" t="s">
        <v>19</v>
      </c>
      <c r="S17" cm="1">
        <f t="array" ref="S17">fluidConvert($S$2,$T$2,T17,$S$3,$S$4)</f>
        <v>46.332061302642678</v>
      </c>
      <c r="T17" t="s">
        <v>58</v>
      </c>
      <c r="U17" cm="1">
        <f t="array" ref="U17">fluidConvert(S17,T17,V17,$S$3,$S$4)</f>
        <v>1</v>
      </c>
      <c r="V17" t="s">
        <v>37</v>
      </c>
      <c r="AK17" t="s">
        <v>12</v>
      </c>
      <c r="AL17" t="str" cm="1">
        <f t="array" ref="AL17">fluidUnitType(AK17)</f>
        <v>Volume Flow</v>
      </c>
      <c r="AS17" cm="1">
        <f t="array" ref="AS17">fluidConvert($AS$1,$AT$1,AT17)</f>
        <v>19685.039370078739</v>
      </c>
      <c r="AT17" t="s">
        <v>145</v>
      </c>
      <c r="BA17" cm="1">
        <f t="array" ref="BA17">fluidConvert($BA$2,$BB$2,BB17)</f>
        <v>5171.4932571507088</v>
      </c>
      <c r="BB17" t="s">
        <v>205</v>
      </c>
      <c r="BE17" cm="1">
        <f t="array" ref="BE17">fluidConvert(BE$2,BF$2,BF17)</f>
        <v>1.1959900463010802</v>
      </c>
      <c r="BF17" t="s">
        <v>236</v>
      </c>
      <c r="BI17" cm="1">
        <f t="array" ref="BI17">fluidConvert(BI$2,BJ$2,BJ17)</f>
        <v>1000000</v>
      </c>
      <c r="BJ17" t="s">
        <v>249</v>
      </c>
      <c r="BM17" cm="1">
        <f t="array" ref="BM17">fluidConvert(BM$2,BN$2,BN17)</f>
        <v>1.43039219085126</v>
      </c>
      <c r="BN17" t="s">
        <v>270</v>
      </c>
    </row>
    <row r="18" spans="11:66" x14ac:dyDescent="0.25">
      <c r="K18" cm="1">
        <f t="array" ref="K18">fluidConvert($K$2,$L$2,L18)</f>
        <v>2.6417200000000005E-2</v>
      </c>
      <c r="L18" t="s">
        <v>20</v>
      </c>
      <c r="S18" cm="1">
        <f t="array" ref="S18">fluidConvert($S$2,$T$2,T18,$S$3,$S$4)</f>
        <v>2779.9236781585605</v>
      </c>
      <c r="T18" t="s">
        <v>59</v>
      </c>
      <c r="U18" cm="1">
        <f t="array" ref="U18">fluidConvert(S18,T18,V18,$S$3,$S$4)</f>
        <v>1</v>
      </c>
      <c r="V18" t="s">
        <v>37</v>
      </c>
      <c r="AK18" t="s">
        <v>114</v>
      </c>
      <c r="AL18" t="str" cm="1">
        <f t="array" ref="AL18">fluidUnitType(AK18)</f>
        <v>Volume Flow</v>
      </c>
      <c r="AS18" cm="1">
        <f t="array" ref="AS18">fluidConvert($AS$1,$AT$1,AT18)</f>
        <v>6561.6797900262463</v>
      </c>
      <c r="AT18" t="s">
        <v>146</v>
      </c>
      <c r="BA18" cm="1">
        <f t="array" ref="BA18">fluidConvert($BA$2,$BB$2,BB18)</f>
        <v>6.8947572931683618</v>
      </c>
      <c r="BB18" t="s">
        <v>204</v>
      </c>
      <c r="BE18" cm="1">
        <f t="array" ref="BE18">fluidConvert(BE$2,BF$2,BF18)</f>
        <v>3.8610215854244582E-7</v>
      </c>
      <c r="BF18" t="s">
        <v>237</v>
      </c>
      <c r="BI18" cm="1">
        <f t="array" ref="BI18">fluidConvert(BI$2,BJ$2,BJ18)</f>
        <v>1000000000</v>
      </c>
      <c r="BJ18" t="s">
        <v>250</v>
      </c>
      <c r="BM18" cm="1">
        <f t="array" ref="BM18">fluidConvert(BM$2,BN$2,BN18)</f>
        <v>1.4907487683113597E-13</v>
      </c>
      <c r="BN18" t="s">
        <v>271</v>
      </c>
    </row>
    <row r="19" spans="11:66" x14ac:dyDescent="0.25">
      <c r="K19" cm="1">
        <f t="array" ref="K19">fluidConvert($K$2,$L$2,L19)</f>
        <v>1.5850320000000002</v>
      </c>
      <c r="L19" t="s">
        <v>118</v>
      </c>
      <c r="S19" cm="1">
        <f t="array" ref="S19">fluidConvert($S$2,$T$2,T19,$S$3,$S$4)</f>
        <v>166795.42068951364</v>
      </c>
      <c r="T19" t="s">
        <v>60</v>
      </c>
      <c r="U19" cm="1">
        <f t="array" ref="U19">fluidConvert(S19,T19,V19,$S$3,$S$4)</f>
        <v>1</v>
      </c>
      <c r="V19" t="s">
        <v>37</v>
      </c>
      <c r="AK19" t="s">
        <v>13</v>
      </c>
      <c r="AL19" t="str" cm="1">
        <f t="array" ref="AL19">fluidUnitType(AK19)</f>
        <v>Volume Flow</v>
      </c>
      <c r="AS19" cm="1">
        <f t="array" ref="AS19">fluidConvert($AS$1,$AT$1,AT19)</f>
        <v>3.7282271534240037</v>
      </c>
      <c r="AT19" t="s">
        <v>147</v>
      </c>
      <c r="BI19" cm="1">
        <f t="array" ref="BI19">fluidConvert(BI$2,BJ$2,BJ19)</f>
        <v>61023.744094732283</v>
      </c>
      <c r="BJ19" t="s">
        <v>251</v>
      </c>
      <c r="BM19" t="str" cm="1">
        <f t="array" ref="BM19">fluidConvert(BM$2,BN$2,BN19)</f>
        <v>Cannot convert Moment of Inertia to Length</v>
      </c>
      <c r="BN19" t="s">
        <v>97</v>
      </c>
    </row>
    <row r="20" spans="11:66" x14ac:dyDescent="0.25">
      <c r="K20" cm="1">
        <f t="array" ref="K20">fluidConvert($K$2,$L$2,L20)</f>
        <v>95.101920000000007</v>
      </c>
      <c r="L20" t="s">
        <v>21</v>
      </c>
      <c r="AK20" t="s">
        <v>14</v>
      </c>
      <c r="AL20" t="str" cm="1">
        <f t="array" ref="AL20">fluidUnitType(AK20)</f>
        <v>Volume Flow</v>
      </c>
      <c r="AS20" cm="1">
        <f t="array" ref="AS20">fluidConvert($AS$1,$AT$1,AT20)</f>
        <v>360</v>
      </c>
      <c r="AT20" t="s">
        <v>148</v>
      </c>
      <c r="BI20" cm="1">
        <f t="array" ref="BI20">fluidConvert(BI$2,BJ$2,BJ20)</f>
        <v>35.314666721488592</v>
      </c>
      <c r="BJ20" t="s">
        <v>252</v>
      </c>
    </row>
    <row r="21" spans="11:66" x14ac:dyDescent="0.25">
      <c r="R21" t="s">
        <v>22</v>
      </c>
      <c r="S21">
        <v>1</v>
      </c>
      <c r="T21" t="s">
        <v>37</v>
      </c>
      <c r="AK21" t="s">
        <v>115</v>
      </c>
      <c r="AL21" t="str" cm="1">
        <f t="array" ref="AL21">fluidUnitType(AK21)</f>
        <v>Volume Flow</v>
      </c>
      <c r="AS21" cm="1">
        <f t="array" ref="AS21">fluidConvert($AS$1,$AT$1,AT21)</f>
        <v>360000</v>
      </c>
      <c r="AT21" t="s">
        <v>149</v>
      </c>
      <c r="BI21" cm="1">
        <f t="array" ref="BI21">fluidConvert(BI$2,BJ$2,BJ21)</f>
        <v>1.3079506193143922</v>
      </c>
      <c r="BJ21" t="s">
        <v>253</v>
      </c>
    </row>
    <row r="22" spans="11:66" x14ac:dyDescent="0.25">
      <c r="R22" t="s">
        <v>43</v>
      </c>
      <c r="S22" t="s">
        <v>44</v>
      </c>
      <c r="T22" t="s">
        <v>45</v>
      </c>
      <c r="AK22" t="s">
        <v>15</v>
      </c>
      <c r="AL22" t="str" cm="1">
        <f t="array" ref="AL22">fluidUnitType(AK22)</f>
        <v>Volume Flow</v>
      </c>
      <c r="AS22" cm="1">
        <f t="array" ref="AS22">fluidConvert($AS$1,$AT$1,AT22)</f>
        <v>36000000</v>
      </c>
      <c r="AT22" t="s">
        <v>150</v>
      </c>
      <c r="BI22" cm="1">
        <f t="array" ref="BI22">fluidConvert(BI$2,BJ$2,BJ22)</f>
        <v>2.3991275857892774E-10</v>
      </c>
      <c r="BJ22" t="s">
        <v>254</v>
      </c>
    </row>
    <row r="23" spans="11:66" x14ac:dyDescent="0.25">
      <c r="R23" t="s">
        <v>0</v>
      </c>
      <c r="S23" t="s">
        <v>61</v>
      </c>
      <c r="T23" t="s">
        <v>45</v>
      </c>
      <c r="AK23" t="s">
        <v>16</v>
      </c>
      <c r="AL23" t="str" cm="1">
        <f t="array" ref="AL23">fluidUnitType(AK23)</f>
        <v>Volume Flow</v>
      </c>
      <c r="AS23" cm="1">
        <f t="array" ref="AS23">fluidConvert($AS$1,$AT$1,AT23)</f>
        <v>360000000</v>
      </c>
      <c r="AT23" t="s">
        <v>151</v>
      </c>
    </row>
    <row r="24" spans="11:66" x14ac:dyDescent="0.25">
      <c r="R24">
        <v>14.7</v>
      </c>
      <c r="S24" t="s">
        <v>95</v>
      </c>
      <c r="T24" cm="1">
        <f t="array" ref="T24">fluidConvert(R24,S24,U24)</f>
        <v>101352.93220957491</v>
      </c>
      <c r="U24" t="s">
        <v>3</v>
      </c>
      <c r="AK24" t="s">
        <v>116</v>
      </c>
      <c r="AL24" t="str" cm="1">
        <f t="array" ref="AL24">fluidUnitType(AK24)</f>
        <v>Volume Flow</v>
      </c>
      <c r="AS24" cm="1">
        <f t="array" ref="AS24">fluidConvert($AS$1,$AT$1,AT24)</f>
        <v>14173228.346456693</v>
      </c>
      <c r="AT24" t="s">
        <v>152</v>
      </c>
    </row>
    <row r="25" spans="11:66" x14ac:dyDescent="0.25">
      <c r="R25">
        <v>70</v>
      </c>
      <c r="S25" t="s">
        <v>62</v>
      </c>
      <c r="T25" cm="1">
        <f t="array" ref="T25">fluidConvert(R25,S25,U25)</f>
        <v>294.26111111111106</v>
      </c>
      <c r="U25" t="s">
        <v>2</v>
      </c>
      <c r="AK25" t="s">
        <v>17</v>
      </c>
      <c r="AL25" t="str" cm="1">
        <f t="array" ref="AL25">fluidUnitType(AK25)</f>
        <v>Volume Flow</v>
      </c>
      <c r="AS25" cm="1">
        <f t="array" ref="AS25">fluidConvert($AS$1,$AT$1,AT25)</f>
        <v>1181102.3622047245</v>
      </c>
      <c r="AT25" t="s">
        <v>153</v>
      </c>
    </row>
    <row r="26" spans="11:66" x14ac:dyDescent="0.25">
      <c r="S26" cm="1">
        <f t="array" ref="S26">fluidConvert($S$21,$T$21,T26,$S$22,$S$23,$T$24,$T$25)</f>
        <v>7.5871931037131679E-4</v>
      </c>
      <c r="T26" t="s">
        <v>46</v>
      </c>
      <c r="U26" cm="1">
        <f t="array" ref="U26">fluidConvert(S26,T26,V26,$S$22,$S$23,$T$24,$T$25)</f>
        <v>1</v>
      </c>
      <c r="V26" t="s">
        <v>37</v>
      </c>
      <c r="AK26" t="s">
        <v>18</v>
      </c>
      <c r="AL26" t="str" cm="1">
        <f t="array" ref="AL26">fluidUnitType(AK26)</f>
        <v>Volume Flow</v>
      </c>
      <c r="AS26" cm="1">
        <f t="array" ref="AS26">fluidConvert($AS$1,$AT$1,AT26)</f>
        <v>393700.78740157478</v>
      </c>
      <c r="AT26" t="s">
        <v>154</v>
      </c>
    </row>
    <row r="27" spans="11:66" x14ac:dyDescent="0.25">
      <c r="S27" cm="1">
        <f t="array" ref="S27">fluidConvert($S$21,$T$21,T27,$S$22,$S$23,$T$24,$T$25)</f>
        <v>4.5523158622279007E-2</v>
      </c>
      <c r="T27" t="s">
        <v>47</v>
      </c>
      <c r="U27" cm="1">
        <f t="array" ref="U27">fluidConvert(S27,T27,V27,$S$22,$S$23,$T$24,$T$25)</f>
        <v>1</v>
      </c>
      <c r="V27" t="s">
        <v>37</v>
      </c>
      <c r="AK27" t="s">
        <v>117</v>
      </c>
      <c r="AL27" t="str" cm="1">
        <f t="array" ref="AL27">fluidUnitType(AK27)</f>
        <v>Volume Flow</v>
      </c>
      <c r="AS27" cm="1">
        <f t="array" ref="AS27">fluidConvert($AS$1,$AT$1,AT27)</f>
        <v>223.69362920544023</v>
      </c>
      <c r="AT27" t="s">
        <v>155</v>
      </c>
    </row>
    <row r="28" spans="11:66" x14ac:dyDescent="0.25">
      <c r="S28" cm="1">
        <f t="array" ref="S28">fluidConvert($S$21,$T$21,T28,$S$22,$S$23,$T$24,$T$25)</f>
        <v>2.7313895173367406</v>
      </c>
      <c r="T28" t="s">
        <v>48</v>
      </c>
      <c r="U28" cm="1">
        <f t="array" ref="U28">fluidConvert(S28,T28,V28,$S$22,$S$23,$T$24,$T$25)</f>
        <v>1</v>
      </c>
      <c r="V28" t="s">
        <v>37</v>
      </c>
      <c r="AK28" t="s">
        <v>19</v>
      </c>
      <c r="AL28" t="str" cm="1">
        <f t="array" ref="AL28">fluidUnitType(AK28)</f>
        <v>Volume Flow</v>
      </c>
      <c r="AS28" cm="1">
        <f t="array" ref="AS28">fluidConvert($AS$1,$AT$1,AT28)</f>
        <v>223.69362920544023</v>
      </c>
      <c r="AT28" t="s">
        <v>124</v>
      </c>
    </row>
    <row r="29" spans="11:66" x14ac:dyDescent="0.25">
      <c r="S29" cm="1">
        <f t="array" ref="S29">fluidConvert($S$21,$T$21,T29,$S$22,$S$23,$T$24,$T$25)</f>
        <v>0.75871931037131679</v>
      </c>
      <c r="T29" t="s">
        <v>49</v>
      </c>
      <c r="U29" cm="1">
        <f t="array" ref="U29">fluidConvert(S29,T29,V29,$S$22,$S$23,$T$24,$T$25)</f>
        <v>1</v>
      </c>
      <c r="V29" t="s">
        <v>37</v>
      </c>
      <c r="AK29" t="s">
        <v>20</v>
      </c>
      <c r="AL29" t="str" cm="1">
        <f t="array" ref="AL29">fluidUnitType(AK29)</f>
        <v>Volume Flow</v>
      </c>
    </row>
    <row r="30" spans="11:66" x14ac:dyDescent="0.25">
      <c r="S30" cm="1">
        <f t="array" ref="S30">fluidConvert($S$21,$T$21,T30,$S$22,$S$23,$T$24,$T$25)</f>
        <v>45.523158622279006</v>
      </c>
      <c r="T30" t="s">
        <v>50</v>
      </c>
      <c r="U30" cm="1">
        <f t="array" ref="U30">fluidConvert(S30,T30,V30,$S$22,$S$23,$T$24,$T$25)</f>
        <v>1</v>
      </c>
      <c r="V30" t="s">
        <v>37</v>
      </c>
      <c r="AK30" t="s">
        <v>123</v>
      </c>
      <c r="AL30" t="str" cm="1">
        <f t="array" ref="AL30">fluidUnitType(AK30)</f>
        <v>Volume Flow</v>
      </c>
    </row>
    <row r="31" spans="11:66" x14ac:dyDescent="0.25">
      <c r="S31" cm="1">
        <f t="array" ref="S31">fluidConvert($S$21,$T$21,T31,$S$22,$S$23,$T$24,$T$25)</f>
        <v>2731.3895173367405</v>
      </c>
      <c r="T31" t="s">
        <v>51</v>
      </c>
      <c r="U31" cm="1">
        <f t="array" ref="U31">fluidConvert(S31,T31,V31,$S$22,$S$23,$T$24,$T$25)</f>
        <v>1</v>
      </c>
      <c r="V31" t="s">
        <v>37</v>
      </c>
      <c r="AK31" t="s">
        <v>118</v>
      </c>
      <c r="AL31" t="str" cm="1">
        <f t="array" ref="AL31">fluidUnitType(AK31)</f>
        <v>Volume Flow</v>
      </c>
    </row>
    <row r="32" spans="11:66" x14ac:dyDescent="0.25">
      <c r="S32" cm="1">
        <f t="array" ref="S32">fluidConvert($S$21,$T$21,T32,$S$22,$S$23,$T$24,$T$25)</f>
        <v>758.71931037131674</v>
      </c>
      <c r="T32" t="s">
        <v>52</v>
      </c>
      <c r="U32" cm="1">
        <f t="array" ref="U32">fluidConvert(S32,T32,V32,$S$22,$S$23,$T$24,$T$25)</f>
        <v>0.99999999999999978</v>
      </c>
      <c r="V32" t="s">
        <v>37</v>
      </c>
      <c r="AK32" t="s">
        <v>119</v>
      </c>
      <c r="AL32" t="str" cm="1">
        <f t="array" ref="AL32">fluidUnitType(AK32)</f>
        <v>Volume Flow</v>
      </c>
    </row>
    <row r="33" spans="19:38" x14ac:dyDescent="0.25">
      <c r="S33" cm="1">
        <f t="array" ref="S33">fluidConvert($S$21,$T$21,T33,$S$22,$S$23,$T$24,$T$25)</f>
        <v>45523.158622279007</v>
      </c>
      <c r="T33" t="s">
        <v>53</v>
      </c>
      <c r="U33" cm="1">
        <f t="array" ref="U33">fluidConvert(S33,T33,V33,$S$22,$S$23,$T$24,$T$25)</f>
        <v>1</v>
      </c>
      <c r="V33" t="s">
        <v>37</v>
      </c>
      <c r="AK33" t="s">
        <v>21</v>
      </c>
      <c r="AL33" t="str" cm="1">
        <f t="array" ref="AL33">fluidUnitType(AK33)</f>
        <v>Volume Flow</v>
      </c>
    </row>
    <row r="34" spans="19:38" x14ac:dyDescent="0.25">
      <c r="S34" cm="1">
        <f t="array" ref="S34">fluidConvert($S$21,$T$21,T34,$S$22,$S$23,$T$24,$T$25)</f>
        <v>2731389.5173367406</v>
      </c>
      <c r="T34" t="s">
        <v>54</v>
      </c>
      <c r="U34" cm="1">
        <f t="array" ref="U34">fluidConvert(S34,T34,V34,$S$22,$S$23,$T$24,$T$25)</f>
        <v>1</v>
      </c>
      <c r="V34" t="s">
        <v>37</v>
      </c>
    </row>
    <row r="35" spans="19:38" x14ac:dyDescent="0.25">
      <c r="S35" cm="1">
        <f t="array" ref="S35">fluidConvert($S$21,$T$21,T35,$S$22,$S$23,$T$24,$T$25)</f>
        <v>2.6793963667198158E-2</v>
      </c>
      <c r="T35" t="s">
        <v>55</v>
      </c>
      <c r="U35" cm="1">
        <f t="array" ref="U35">fluidConvert(S35,T35,V35,$S$22,$S$23,$T$24,$T$25)</f>
        <v>1</v>
      </c>
      <c r="V35" t="s">
        <v>37</v>
      </c>
      <c r="AK35" t="s">
        <v>127</v>
      </c>
    </row>
    <row r="36" spans="19:38" x14ac:dyDescent="0.25">
      <c r="S36" cm="1">
        <f t="array" ref="S36">fluidConvert($S$21,$T$21,T36,$S$22,$S$23,$T$24,$T$25)</f>
        <v>1.6076378200318895</v>
      </c>
      <c r="T36" t="s">
        <v>56</v>
      </c>
      <c r="U36" cm="1">
        <f t="array" ref="U36">fluidConvert(S36,T36,V36,$S$22,$S$23,$T$24,$T$25)</f>
        <v>1</v>
      </c>
      <c r="V36" t="s">
        <v>37</v>
      </c>
      <c r="AK36" t="s">
        <v>24</v>
      </c>
      <c r="AL36" t="str" cm="1">
        <f t="array" ref="AL36">fluidUnitType(AK36)</f>
        <v>Density</v>
      </c>
    </row>
    <row r="37" spans="19:38" x14ac:dyDescent="0.25">
      <c r="S37" cm="1">
        <f t="array" ref="S37">fluidConvert($S$21,$T$21,T37,$S$22,$S$23,$T$24,$T$25)</f>
        <v>166680.26590204067</v>
      </c>
      <c r="T37" t="s">
        <v>57</v>
      </c>
      <c r="U37" cm="1">
        <f t="array" ref="U37">fluidConvert(S37,T37,V37,$S$22,$S$23,$T$24,$T$25)</f>
        <v>1</v>
      </c>
      <c r="V37" t="s">
        <v>37</v>
      </c>
      <c r="AK37" t="s">
        <v>24</v>
      </c>
      <c r="AL37" t="str" cm="1">
        <f t="array" ref="AL37">fluidUnitType(AK37)</f>
        <v>Density</v>
      </c>
    </row>
    <row r="38" spans="19:38" x14ac:dyDescent="0.25">
      <c r="S38" cm="1">
        <f t="array" ref="S38">fluidConvert($S$21,$T$21,T38,$S$22,$S$23,$T$24,$T$25)</f>
        <v>46.300073861677959</v>
      </c>
      <c r="T38" t="s">
        <v>58</v>
      </c>
      <c r="U38" cm="1">
        <f t="array" ref="U38">fluidConvert(S38,T38,V38,$S$22,$S$23,$T$24,$T$25)</f>
        <v>1</v>
      </c>
      <c r="V38" t="s">
        <v>37</v>
      </c>
      <c r="AK38" t="s">
        <v>25</v>
      </c>
      <c r="AL38" t="str" cm="1">
        <f t="array" ref="AL38">fluidUnitType(AK38)</f>
        <v>Density</v>
      </c>
    </row>
    <row r="39" spans="19:38" x14ac:dyDescent="0.25">
      <c r="S39" cm="1">
        <f t="array" ref="S39">fluidConvert($S$21,$T$21,T39,$S$22,$S$23,$T$24,$T$25)</f>
        <v>2778.0044317006777</v>
      </c>
      <c r="T39" t="s">
        <v>59</v>
      </c>
      <c r="U39" cm="1">
        <f t="array" ref="U39">fluidConvert(S39,T39,V39,$S$22,$S$23,$T$24,$T$25)</f>
        <v>1</v>
      </c>
      <c r="V39" t="s">
        <v>37</v>
      </c>
      <c r="AK39" t="s">
        <v>26</v>
      </c>
      <c r="AL39" t="str" cm="1">
        <f t="array" ref="AL39">fluidUnitType(AK39)</f>
        <v>Density</v>
      </c>
    </row>
    <row r="40" spans="19:38" x14ac:dyDescent="0.25">
      <c r="S40" cm="1">
        <f t="array" ref="S40">fluidConvert($S$21,$T$21,T40,$S$22,$S$23,$T$24,$T$25)</f>
        <v>166680.26590204067</v>
      </c>
      <c r="T40" t="s">
        <v>60</v>
      </c>
      <c r="U40" cm="1">
        <f t="array" ref="U40">fluidConvert(S40,T40,V40,$S$22,$S$23,$T$24,$T$25)</f>
        <v>1</v>
      </c>
      <c r="V40" t="s">
        <v>37</v>
      </c>
      <c r="AK40" t="s">
        <v>27</v>
      </c>
      <c r="AL40" t="str" cm="1">
        <f t="array" ref="AL40">fluidUnitType(AK40)</f>
        <v>Density</v>
      </c>
    </row>
    <row r="41" spans="19:38" x14ac:dyDescent="0.25">
      <c r="AK41" t="s">
        <v>28</v>
      </c>
      <c r="AL41" t="str" cm="1">
        <f t="array" ref="AL41">fluidUnitType(AK41)</f>
        <v>Density</v>
      </c>
    </row>
    <row r="42" spans="19:38" x14ac:dyDescent="0.25">
      <c r="AK42" t="s">
        <v>29</v>
      </c>
      <c r="AL42" t="str" cm="1">
        <f t="array" ref="AL42">fluidUnitType(AK42)</f>
        <v>Density</v>
      </c>
    </row>
    <row r="43" spans="19:38" x14ac:dyDescent="0.25">
      <c r="AK43" t="s">
        <v>30</v>
      </c>
      <c r="AL43" t="str" cm="1">
        <f t="array" ref="AL43">fluidUnitType(AK43)</f>
        <v>Density</v>
      </c>
    </row>
    <row r="44" spans="19:38" x14ac:dyDescent="0.25">
      <c r="AK44" t="s">
        <v>31</v>
      </c>
      <c r="AL44" t="str" cm="1">
        <f t="array" ref="AL44">fluidUnitType(AK44)</f>
        <v>Density</v>
      </c>
    </row>
    <row r="46" spans="19:38" x14ac:dyDescent="0.25">
      <c r="AK46" t="s">
        <v>128</v>
      </c>
    </row>
    <row r="47" spans="19:38" x14ac:dyDescent="0.25">
      <c r="AK47" t="s">
        <v>46</v>
      </c>
      <c r="AL47" t="str" cm="1">
        <f t="array" ref="AL47">fluidUnitType(AK47)</f>
        <v>Standard Volume Flow</v>
      </c>
    </row>
    <row r="48" spans="19:38" x14ac:dyDescent="0.25">
      <c r="AK48" t="s">
        <v>47</v>
      </c>
      <c r="AL48" t="str" cm="1">
        <f t="array" ref="AL48">fluidUnitType(AK48)</f>
        <v>Standard Volume Flow</v>
      </c>
    </row>
    <row r="49" spans="37:38" x14ac:dyDescent="0.25">
      <c r="AK49" t="s">
        <v>48</v>
      </c>
      <c r="AL49" t="str" cm="1">
        <f t="array" ref="AL49">fluidUnitType(AK49)</f>
        <v>Standard Volume Flow</v>
      </c>
    </row>
    <row r="50" spans="37:38" x14ac:dyDescent="0.25">
      <c r="AK50" t="s">
        <v>49</v>
      </c>
      <c r="AL50" t="str" cm="1">
        <f t="array" ref="AL50">fluidUnitType(AK50)</f>
        <v>Standard Volume Flow</v>
      </c>
    </row>
    <row r="51" spans="37:38" x14ac:dyDescent="0.25">
      <c r="AK51" t="s">
        <v>50</v>
      </c>
      <c r="AL51" t="str" cm="1">
        <f t="array" ref="AL51">fluidUnitType(AK51)</f>
        <v>Standard Volume Flow</v>
      </c>
    </row>
    <row r="52" spans="37:38" x14ac:dyDescent="0.25">
      <c r="AK52" t="s">
        <v>51</v>
      </c>
      <c r="AL52" t="str" cm="1">
        <f t="array" ref="AL52">fluidUnitType(AK52)</f>
        <v>Standard Volume Flow</v>
      </c>
    </row>
    <row r="53" spans="37:38" x14ac:dyDescent="0.25">
      <c r="AK53" t="s">
        <v>52</v>
      </c>
      <c r="AL53" t="str" cm="1">
        <f t="array" ref="AL53">fluidUnitType(AK53)</f>
        <v>Standard Volume Flow</v>
      </c>
    </row>
    <row r="54" spans="37:38" x14ac:dyDescent="0.25">
      <c r="AK54" t="s">
        <v>53</v>
      </c>
      <c r="AL54" t="str" cm="1">
        <f t="array" ref="AL54">fluidUnitType(AK54)</f>
        <v>Standard Volume Flow</v>
      </c>
    </row>
    <row r="55" spans="37:38" x14ac:dyDescent="0.25">
      <c r="AK55" t="s">
        <v>54</v>
      </c>
      <c r="AL55" t="str" cm="1">
        <f t="array" ref="AL55">fluidUnitType(AK55)</f>
        <v>Standard Volume Flow</v>
      </c>
    </row>
    <row r="56" spans="37:38" x14ac:dyDescent="0.25">
      <c r="AK56" t="s">
        <v>55</v>
      </c>
      <c r="AL56" t="str" cm="1">
        <f t="array" ref="AL56">fluidUnitType(AK56)</f>
        <v>Standard Volume Flow</v>
      </c>
    </row>
    <row r="57" spans="37:38" x14ac:dyDescent="0.25">
      <c r="AK57" t="s">
        <v>56</v>
      </c>
      <c r="AL57" t="str" cm="1">
        <f t="array" ref="AL57">fluidUnitType(AK57)</f>
        <v>Standard Volume Flow</v>
      </c>
    </row>
    <row r="58" spans="37:38" x14ac:dyDescent="0.25">
      <c r="AK58" t="s">
        <v>57</v>
      </c>
      <c r="AL58" t="str" cm="1">
        <f t="array" ref="AL58">fluidUnitType(AK58)</f>
        <v>Standard Volume Flow</v>
      </c>
    </row>
    <row r="59" spans="37:38" x14ac:dyDescent="0.25">
      <c r="AK59" t="s">
        <v>58</v>
      </c>
      <c r="AL59" t="str" cm="1">
        <f t="array" ref="AL59">fluidUnitType(AK59)</f>
        <v>Standard Volume Flow</v>
      </c>
    </row>
    <row r="60" spans="37:38" x14ac:dyDescent="0.25">
      <c r="AK60" t="s">
        <v>59</v>
      </c>
      <c r="AL60" t="str" cm="1">
        <f t="array" ref="AL60">fluidUnitType(AK60)</f>
        <v>Standard Volume Flow</v>
      </c>
    </row>
    <row r="61" spans="37:38" x14ac:dyDescent="0.25">
      <c r="AK61" t="s">
        <v>60</v>
      </c>
      <c r="AL61" t="str" cm="1">
        <f t="array" ref="AL61">fluidUnitType(AK61)</f>
        <v>Standard Volume Flow</v>
      </c>
    </row>
    <row r="63" spans="37:38" x14ac:dyDescent="0.25">
      <c r="AK63" t="s">
        <v>129</v>
      </c>
    </row>
    <row r="64" spans="37:38" x14ac:dyDescent="0.25">
      <c r="AK64" t="s">
        <v>84</v>
      </c>
      <c r="AL64" t="str" cm="1">
        <f t="array" ref="AL64">fluidUnitType(AK64)</f>
        <v>Unit Error, floogle not recognized</v>
      </c>
    </row>
    <row r="66" spans="37:38" x14ac:dyDescent="0.25">
      <c r="AK66" t="s">
        <v>130</v>
      </c>
    </row>
    <row r="67" spans="37:38" x14ac:dyDescent="0.25">
      <c r="AK67" t="s">
        <v>99</v>
      </c>
      <c r="AL67" t="str" cm="1">
        <f t="array" ref="AL67">fluidUnitType(AK67)</f>
        <v>Length</v>
      </c>
    </row>
    <row r="68" spans="37:38" x14ac:dyDescent="0.25">
      <c r="AK68" t="s">
        <v>97</v>
      </c>
      <c r="AL68" t="str" cm="1">
        <f t="array" ref="AL68">fluidUnitType(AK68)</f>
        <v>Length</v>
      </c>
    </row>
    <row r="69" spans="37:38" x14ac:dyDescent="0.25">
      <c r="AK69" t="s">
        <v>100</v>
      </c>
      <c r="AL69" t="str" cm="1">
        <f t="array" ref="AL69">fluidUnitType(AK69)</f>
        <v>Length</v>
      </c>
    </row>
    <row r="70" spans="37:38" x14ac:dyDescent="0.25">
      <c r="AK70" t="s">
        <v>98</v>
      </c>
      <c r="AL70" t="str" cm="1">
        <f t="array" ref="AL70">fluidUnitType(AK70)</f>
        <v>Length</v>
      </c>
    </row>
    <row r="71" spans="37:38" x14ac:dyDescent="0.25">
      <c r="AK71" t="s">
        <v>101</v>
      </c>
      <c r="AL71" t="str" cm="1">
        <f t="array" ref="AL71">fluidUnitType(AK71)</f>
        <v>Length</v>
      </c>
    </row>
    <row r="72" spans="37:38" x14ac:dyDescent="0.25">
      <c r="AK72" t="s">
        <v>102</v>
      </c>
      <c r="AL72" t="str" cm="1">
        <f t="array" ref="AL72">fluidUnitType(AK72)</f>
        <v>Length</v>
      </c>
    </row>
    <row r="73" spans="37:38" x14ac:dyDescent="0.25">
      <c r="AK73" t="s">
        <v>103</v>
      </c>
      <c r="AL73" t="str" cm="1">
        <f t="array" ref="AL73">fluidUnitType(AK73)</f>
        <v>Length</v>
      </c>
    </row>
    <row r="74" spans="37:38" x14ac:dyDescent="0.25">
      <c r="AK74" t="s">
        <v>104</v>
      </c>
      <c r="AL74" t="str" cm="1">
        <f t="array" ref="AL74">fluidUnitType(AK74)</f>
        <v>Length</v>
      </c>
    </row>
    <row r="76" spans="37:38" x14ac:dyDescent="0.25">
      <c r="AK76" t="s">
        <v>131</v>
      </c>
    </row>
    <row r="77" spans="37:38" x14ac:dyDescent="0.25">
      <c r="AK77" t="s">
        <v>107</v>
      </c>
      <c r="AL77" t="str" cm="1">
        <f t="array" ref="AL77">fluidUnitType(AK77)</f>
        <v>Time</v>
      </c>
    </row>
    <row r="78" spans="37:38" x14ac:dyDescent="0.25">
      <c r="AK78" t="s">
        <v>108</v>
      </c>
      <c r="AL78" t="str" cm="1">
        <f t="array" ref="AL78">fluidUnitType(AK78)</f>
        <v>Time</v>
      </c>
    </row>
    <row r="79" spans="37:38" x14ac:dyDescent="0.25">
      <c r="AK79" t="s">
        <v>109</v>
      </c>
      <c r="AL79" t="str" cm="1">
        <f t="array" ref="AL79">fluidUnitType(AK79)</f>
        <v>Time</v>
      </c>
    </row>
    <row r="81" spans="37:38" x14ac:dyDescent="0.25">
      <c r="AK81" t="s">
        <v>156</v>
      </c>
    </row>
    <row r="82" spans="37:38" x14ac:dyDescent="0.25">
      <c r="AK82" t="s">
        <v>132</v>
      </c>
      <c r="AL82" t="str" cm="1">
        <f t="array" ref="AL82">fluidUnitType(AK82)</f>
        <v>Speed</v>
      </c>
    </row>
    <row r="83" spans="37:38" x14ac:dyDescent="0.25">
      <c r="AK83" t="s">
        <v>133</v>
      </c>
      <c r="AL83" t="str" cm="1">
        <f t="array" ref="AL83">fluidUnitType(AK83)</f>
        <v>Speed</v>
      </c>
    </row>
    <row r="84" spans="37:38" x14ac:dyDescent="0.25">
      <c r="AK84" t="s">
        <v>134</v>
      </c>
      <c r="AL84" t="str" cm="1">
        <f t="array" ref="AL84">fluidUnitType(AK84)</f>
        <v>Speed</v>
      </c>
    </row>
    <row r="85" spans="37:38" x14ac:dyDescent="0.25">
      <c r="AK85" t="s">
        <v>135</v>
      </c>
      <c r="AL85" t="str" cm="1">
        <f t="array" ref="AL85">fluidUnitType(AK85)</f>
        <v>Speed</v>
      </c>
    </row>
    <row r="86" spans="37:38" x14ac:dyDescent="0.25">
      <c r="AK86" t="s">
        <v>136</v>
      </c>
      <c r="AL86" t="str" cm="1">
        <f t="array" ref="AL86">fluidUnitType(AK86)</f>
        <v>Speed</v>
      </c>
    </row>
    <row r="87" spans="37:38" x14ac:dyDescent="0.25">
      <c r="AK87" t="s">
        <v>137</v>
      </c>
      <c r="AL87" t="str" cm="1">
        <f t="array" ref="AL87">fluidUnitType(AK87)</f>
        <v>Speed</v>
      </c>
    </row>
    <row r="88" spans="37:38" x14ac:dyDescent="0.25">
      <c r="AK88" t="s">
        <v>138</v>
      </c>
      <c r="AL88" t="str" cm="1">
        <f t="array" ref="AL88">fluidUnitType(AK88)</f>
        <v>Speed</v>
      </c>
    </row>
    <row r="89" spans="37:38" x14ac:dyDescent="0.25">
      <c r="AK89" t="s">
        <v>139</v>
      </c>
      <c r="AL89" t="str" cm="1">
        <f t="array" ref="AL89">fluidUnitType(AK89)</f>
        <v>Speed</v>
      </c>
    </row>
    <row r="90" spans="37:38" x14ac:dyDescent="0.25">
      <c r="AK90" t="s">
        <v>140</v>
      </c>
      <c r="AL90" t="str" cm="1">
        <f t="array" ref="AL90">fluidUnitType(AK90)</f>
        <v>Speed</v>
      </c>
    </row>
    <row r="91" spans="37:38" x14ac:dyDescent="0.25">
      <c r="AK91" t="s">
        <v>141</v>
      </c>
      <c r="AL91" t="str" cm="1">
        <f t="array" ref="AL91">fluidUnitType(AK91)</f>
        <v>Speed</v>
      </c>
    </row>
    <row r="92" spans="37:38" x14ac:dyDescent="0.25">
      <c r="AK92" t="s">
        <v>142</v>
      </c>
      <c r="AL92" t="str" cm="1">
        <f t="array" ref="AL92">fluidUnitType(AK92)</f>
        <v>Speed</v>
      </c>
    </row>
    <row r="93" spans="37:38" x14ac:dyDescent="0.25">
      <c r="AK93" t="s">
        <v>143</v>
      </c>
      <c r="AL93" t="str" cm="1">
        <f t="array" ref="AL93">fluidUnitType(AK93)</f>
        <v>Speed</v>
      </c>
    </row>
    <row r="94" spans="37:38" x14ac:dyDescent="0.25">
      <c r="AK94" t="s">
        <v>144</v>
      </c>
      <c r="AL94" t="str" cm="1">
        <f t="array" ref="AL94">fluidUnitType(AK94)</f>
        <v>Speed</v>
      </c>
    </row>
    <row r="95" spans="37:38" x14ac:dyDescent="0.25">
      <c r="AK95" t="s">
        <v>145</v>
      </c>
      <c r="AL95" t="str" cm="1">
        <f t="array" ref="AL95">fluidUnitType(AK95)</f>
        <v>Speed</v>
      </c>
    </row>
    <row r="96" spans="37:38" x14ac:dyDescent="0.25">
      <c r="AK96" t="s">
        <v>146</v>
      </c>
      <c r="AL96" t="str" cm="1">
        <f t="array" ref="AL96">fluidUnitType(AK96)</f>
        <v>Speed</v>
      </c>
    </row>
    <row r="97" spans="37:38" x14ac:dyDescent="0.25">
      <c r="AK97" t="s">
        <v>147</v>
      </c>
      <c r="AL97" t="str" cm="1">
        <f t="array" ref="AL97">fluidUnitType(AK97)</f>
        <v>Speed</v>
      </c>
    </row>
    <row r="98" spans="37:38" x14ac:dyDescent="0.25">
      <c r="AK98" t="s">
        <v>148</v>
      </c>
      <c r="AL98" t="str" cm="1">
        <f t="array" ref="AL98">fluidUnitType(AK98)</f>
        <v>Speed</v>
      </c>
    </row>
    <row r="99" spans="37:38" x14ac:dyDescent="0.25">
      <c r="AK99" t="s">
        <v>149</v>
      </c>
      <c r="AL99" t="str" cm="1">
        <f t="array" ref="AL99">fluidUnitType(AK99)</f>
        <v>Speed</v>
      </c>
    </row>
    <row r="100" spans="37:38" x14ac:dyDescent="0.25">
      <c r="AK100" t="s">
        <v>150</v>
      </c>
      <c r="AL100" t="str" cm="1">
        <f t="array" ref="AL100">fluidUnitType(AK100)</f>
        <v>Speed</v>
      </c>
    </row>
    <row r="101" spans="37:38" x14ac:dyDescent="0.25">
      <c r="AK101" t="s">
        <v>151</v>
      </c>
      <c r="AL101" t="str" cm="1">
        <f t="array" ref="AL101">fluidUnitType(AK101)</f>
        <v>Speed</v>
      </c>
    </row>
    <row r="102" spans="37:38" x14ac:dyDescent="0.25">
      <c r="AK102" t="s">
        <v>152</v>
      </c>
      <c r="AL102" t="str" cm="1">
        <f t="array" ref="AL102">fluidUnitType(AK102)</f>
        <v>Speed</v>
      </c>
    </row>
    <row r="103" spans="37:38" x14ac:dyDescent="0.25">
      <c r="AK103" t="s">
        <v>153</v>
      </c>
      <c r="AL103" t="str" cm="1">
        <f t="array" ref="AL103">fluidUnitType(AK103)</f>
        <v>Speed</v>
      </c>
    </row>
    <row r="104" spans="37:38" x14ac:dyDescent="0.25">
      <c r="AK104" t="s">
        <v>154</v>
      </c>
      <c r="AL104" t="str" cm="1">
        <f t="array" ref="AL104">fluidUnitType(AK104)</f>
        <v>Speed</v>
      </c>
    </row>
    <row r="105" spans="37:38" x14ac:dyDescent="0.25">
      <c r="AK105" t="s">
        <v>155</v>
      </c>
      <c r="AL105" t="str" cm="1">
        <f t="array" ref="AL105">fluidUnitType(AK105)</f>
        <v>Speed</v>
      </c>
    </row>
    <row r="106" spans="37:38" x14ac:dyDescent="0.25">
      <c r="AK106" t="s">
        <v>124</v>
      </c>
      <c r="AL106" t="str" cm="1">
        <f t="array" ref="AL106">fluidUnitType(AK106)</f>
        <v>Speed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46D00-E37A-4284-B7F5-890857251866}">
  <sheetPr codeName="Sheet2"/>
  <dimension ref="A1:AZ59"/>
  <sheetViews>
    <sheetView topLeftCell="Y1" workbookViewId="0">
      <selection activeCell="AP2" sqref="AP2:AP17"/>
    </sheetView>
  </sheetViews>
  <sheetFormatPr defaultRowHeight="15" x14ac:dyDescent="0.25"/>
  <cols>
    <col min="1" max="1" width="15.28515625" bestFit="1" customWidth="1"/>
    <col min="2" max="2" width="69.28515625" bestFit="1" customWidth="1"/>
    <col min="5" max="5" width="10" customWidth="1"/>
    <col min="6" max="6" width="9.140625" customWidth="1"/>
    <col min="7" max="7" width="12.7109375" customWidth="1"/>
    <col min="8" max="8" width="13.28515625" customWidth="1"/>
    <col min="10" max="10" width="26.5703125" bestFit="1" customWidth="1"/>
    <col min="13" max="13" width="12" bestFit="1" customWidth="1"/>
    <col min="16" max="16" width="11.5703125" bestFit="1" customWidth="1"/>
    <col min="19" max="19" width="17" bestFit="1" customWidth="1"/>
    <col min="20" max="20" width="83" customWidth="1"/>
    <col min="22" max="22" width="13.28515625" bestFit="1" customWidth="1"/>
    <col min="28" max="28" width="17.85546875" bestFit="1" customWidth="1"/>
    <col min="29" max="29" width="20.140625" customWidth="1"/>
    <col min="30" max="30" width="24.85546875" bestFit="1" customWidth="1"/>
    <col min="33" max="33" width="13.85546875" bestFit="1" customWidth="1"/>
    <col min="36" max="36" width="10.140625" bestFit="1" customWidth="1"/>
    <col min="37" max="37" width="10.140625" customWidth="1"/>
    <col min="39" max="39" width="13.140625" bestFit="1" customWidth="1"/>
    <col min="40" max="40" width="13.140625" customWidth="1"/>
  </cols>
  <sheetData>
    <row r="1" spans="1:45" x14ac:dyDescent="0.25">
      <c r="A1" t="s">
        <v>79</v>
      </c>
      <c r="D1" t="s">
        <v>80</v>
      </c>
      <c r="G1" t="s">
        <v>81</v>
      </c>
      <c r="J1" t="s">
        <v>82</v>
      </c>
      <c r="M1" t="s">
        <v>96</v>
      </c>
      <c r="P1" t="s">
        <v>106</v>
      </c>
      <c r="S1" t="s">
        <v>105</v>
      </c>
      <c r="W1" t="s">
        <v>161</v>
      </c>
      <c r="AB1" t="s">
        <v>176</v>
      </c>
      <c r="AG1" t="s">
        <v>194</v>
      </c>
      <c r="AJ1" t="s">
        <v>223</v>
      </c>
      <c r="AM1" t="s">
        <v>238</v>
      </c>
      <c r="AP1" t="s">
        <v>255</v>
      </c>
    </row>
    <row r="2" spans="1:45" x14ac:dyDescent="0.25">
      <c r="A2" t="s">
        <v>35</v>
      </c>
      <c r="B2" t="str">
        <f t="shared" ref="B2:B10" si="0">""""&amp;A2&amp;""","</f>
        <v>"kg/s",</v>
      </c>
      <c r="D2" t="s">
        <v>23</v>
      </c>
      <c r="E2" t="str">
        <f>""""&amp;D2&amp;""","</f>
        <v>"ccs",</v>
      </c>
      <c r="G2" t="s">
        <v>24</v>
      </c>
      <c r="H2" t="str">
        <f t="shared" ref="H2:H10" si="1">""""&amp;G2&amp;""","</f>
        <v>"kg/m3",</v>
      </c>
      <c r="J2" t="s">
        <v>46</v>
      </c>
      <c r="K2" t="str">
        <f>""""&amp;J2&amp;""","</f>
        <v>"scms",</v>
      </c>
      <c r="M2" t="s">
        <v>99</v>
      </c>
      <c r="N2" t="str">
        <f>""""&amp;M2&amp;""","</f>
        <v>"km",</v>
      </c>
      <c r="P2" t="s">
        <v>107</v>
      </c>
      <c r="Q2" t="str">
        <f t="shared" ref="Q2:Q4" si="2">""""&amp;P2&amp;""","</f>
        <v>"s",</v>
      </c>
      <c r="S2" t="str">
        <f>M2&amp;"/"&amp;$P$2</f>
        <v>km/s</v>
      </c>
      <c r="T2" t="str">
        <f t="shared" ref="T2:T26" si="3">""""&amp;S2&amp;""","</f>
        <v>"km/s",</v>
      </c>
      <c r="W2" t="str">
        <f>$T2</f>
        <v>"km/s",</v>
      </c>
      <c r="AB2" t="s">
        <v>62</v>
      </c>
      <c r="AC2" t="str">
        <f t="shared" ref="AC2:AC9" si="4">""""&amp;AB2&amp;""","</f>
        <v>"F",</v>
      </c>
      <c r="AG2" t="s">
        <v>9</v>
      </c>
      <c r="AH2" t="str">
        <f t="shared" ref="AH2:AH6" si="5">""""&amp;AG2&amp;""","</f>
        <v>"psia",</v>
      </c>
      <c r="AJ2" t="s">
        <v>224</v>
      </c>
      <c r="AK2" t="str">
        <f t="shared" ref="AK2:AK17" si="6">""""&amp;AJ2&amp;""","</f>
        <v>"km2",</v>
      </c>
      <c r="AM2" t="s">
        <v>239</v>
      </c>
      <c r="AN2" t="str">
        <f t="shared" ref="AN2:AN17" si="7">""""&amp;AM2&amp;""","</f>
        <v>"km3",</v>
      </c>
      <c r="AP2" t="s">
        <v>256</v>
      </c>
      <c r="AQ2" t="str">
        <f t="shared" ref="AQ2:AQ17" si="8">""""&amp;AP2&amp;""","</f>
        <v>"km4",</v>
      </c>
    </row>
    <row r="3" spans="1:45" x14ac:dyDescent="0.25">
      <c r="A3" t="s">
        <v>110</v>
      </c>
      <c r="B3" t="str">
        <f t="shared" si="0"/>
        <v>"kg/min",</v>
      </c>
      <c r="D3" t="s">
        <v>10</v>
      </c>
      <c r="E3" t="str">
        <f t="shared" ref="E3:E10" si="9">""""&amp;D3&amp;""","</f>
        <v>"m3/s",</v>
      </c>
      <c r="G3" t="s">
        <v>25</v>
      </c>
      <c r="H3" t="str">
        <f t="shared" si="1"/>
        <v>"kg/cm3",</v>
      </c>
      <c r="J3" t="s">
        <v>47</v>
      </c>
      <c r="K3" t="str">
        <f t="shared" ref="K3:K16" si="10">""""&amp;J3&amp;""","</f>
        <v>"scmm",</v>
      </c>
      <c r="M3" t="s">
        <v>97</v>
      </c>
      <c r="N3" t="str">
        <f t="shared" ref="N3:N9" si="11">""""&amp;M3&amp;""","</f>
        <v>"m",</v>
      </c>
      <c r="P3" t="s">
        <v>108</v>
      </c>
      <c r="Q3" t="str">
        <f t="shared" si="2"/>
        <v>"min",</v>
      </c>
      <c r="S3" t="str">
        <f t="shared" ref="S3:S9" si="12">M3&amp;"/"&amp;$P$2</f>
        <v>m/s</v>
      </c>
      <c r="T3" t="str">
        <f t="shared" si="3"/>
        <v>"m/s",</v>
      </c>
      <c r="W3" t="str">
        <f>$T10</f>
        <v>"km/min",</v>
      </c>
      <c r="AB3" t="s">
        <v>178</v>
      </c>
      <c r="AC3" t="str">
        <f t="shared" si="4"/>
        <v>"°F",</v>
      </c>
      <c r="AG3" t="s">
        <v>195</v>
      </c>
      <c r="AH3" t="str">
        <f t="shared" si="5"/>
        <v>"psig",</v>
      </c>
      <c r="AJ3" t="s">
        <v>219</v>
      </c>
      <c r="AK3" t="str">
        <f t="shared" si="6"/>
        <v>"m2",</v>
      </c>
      <c r="AM3" t="s">
        <v>240</v>
      </c>
      <c r="AN3" t="str">
        <f t="shared" si="7"/>
        <v>"m3",</v>
      </c>
      <c r="AP3" t="s">
        <v>257</v>
      </c>
      <c r="AQ3" t="str">
        <f t="shared" si="8"/>
        <v>"m4",</v>
      </c>
    </row>
    <row r="4" spans="1:45" x14ac:dyDescent="0.25">
      <c r="A4" t="s">
        <v>36</v>
      </c>
      <c r="B4" t="str">
        <f t="shared" si="0"/>
        <v>"kg/hr",</v>
      </c>
      <c r="D4" t="s">
        <v>113</v>
      </c>
      <c r="E4" t="str">
        <f t="shared" si="9"/>
        <v>"m3/min",</v>
      </c>
      <c r="G4" t="s">
        <v>26</v>
      </c>
      <c r="H4" t="str">
        <f t="shared" si="1"/>
        <v>"kg/L",</v>
      </c>
      <c r="J4" t="s">
        <v>48</v>
      </c>
      <c r="K4" t="str">
        <f t="shared" si="10"/>
        <v>"scmh",</v>
      </c>
      <c r="M4" t="s">
        <v>100</v>
      </c>
      <c r="N4" t="str">
        <f t="shared" si="11"/>
        <v>"cm",</v>
      </c>
      <c r="P4" t="s">
        <v>109</v>
      </c>
      <c r="Q4" t="str">
        <f t="shared" si="2"/>
        <v>"hr",</v>
      </c>
      <c r="S4" t="str">
        <f t="shared" si="12"/>
        <v>cm/s</v>
      </c>
      <c r="T4" t="str">
        <f t="shared" si="3"/>
        <v>"cm/s",</v>
      </c>
      <c r="W4" t="str">
        <f>$T18</f>
        <v>"km/hr",</v>
      </c>
      <c r="AB4" t="s">
        <v>177</v>
      </c>
      <c r="AC4" t="str">
        <f t="shared" si="4"/>
        <v>"C",</v>
      </c>
      <c r="AG4" t="s">
        <v>196</v>
      </c>
      <c r="AH4" t="str">
        <f t="shared" si="5"/>
        <v>"psid",</v>
      </c>
      <c r="AJ4" t="s">
        <v>225</v>
      </c>
      <c r="AK4" t="str">
        <f t="shared" si="6"/>
        <v>"cm2",</v>
      </c>
      <c r="AM4" t="s">
        <v>241</v>
      </c>
      <c r="AN4" t="str">
        <f t="shared" si="7"/>
        <v>"cm3",</v>
      </c>
      <c r="AP4" t="s">
        <v>258</v>
      </c>
      <c r="AQ4" t="str">
        <f t="shared" si="8"/>
        <v>"cm4",</v>
      </c>
    </row>
    <row r="5" spans="1:45" x14ac:dyDescent="0.25">
      <c r="A5" t="s">
        <v>37</v>
      </c>
      <c r="B5" t="str">
        <f t="shared" si="0"/>
        <v>"g/s",</v>
      </c>
      <c r="D5" t="s">
        <v>11</v>
      </c>
      <c r="E5" t="str">
        <f t="shared" si="9"/>
        <v>"m3/hr",</v>
      </c>
      <c r="G5" t="s">
        <v>27</v>
      </c>
      <c r="H5" t="str">
        <f t="shared" si="1"/>
        <v>"g/m3",</v>
      </c>
      <c r="J5" t="s">
        <v>49</v>
      </c>
      <c r="K5" t="str">
        <f t="shared" si="10"/>
        <v>"slps",</v>
      </c>
      <c r="M5" t="s">
        <v>98</v>
      </c>
      <c r="N5" t="str">
        <f t="shared" si="11"/>
        <v>"mm",</v>
      </c>
      <c r="P5" t="s">
        <v>83</v>
      </c>
      <c r="Q5" t="str">
        <f>"Case "&amp;LEFT(_xlfn.CONCAT(Q2:Q4),LEN(_xlfn.CONCAT(Q2:Q4))-1)</f>
        <v>Case "s","min","hr"</v>
      </c>
      <c r="S5" t="str">
        <f t="shared" si="12"/>
        <v>mm/s</v>
      </c>
      <c r="T5" t="str">
        <f t="shared" si="3"/>
        <v>"mm/s",</v>
      </c>
      <c r="V5" t="s">
        <v>160</v>
      </c>
      <c r="W5" t="str">
        <f>"Case "&amp;LEFT(_xlfn.CONCAT(W2:W4),LEN(_xlfn.CONCAT(W2:W4))-1)</f>
        <v>Case "km/s","km/min","km/hr"</v>
      </c>
      <c r="AB5" t="s">
        <v>179</v>
      </c>
      <c r="AC5" t="str">
        <f t="shared" si="4"/>
        <v>"°C",</v>
      </c>
      <c r="AG5" t="s">
        <v>95</v>
      </c>
      <c r="AH5" t="str">
        <f t="shared" si="5"/>
        <v>"psi",</v>
      </c>
      <c r="AJ5" t="s">
        <v>226</v>
      </c>
      <c r="AK5" t="str">
        <f t="shared" si="6"/>
        <v>"mm2",</v>
      </c>
      <c r="AM5" t="s">
        <v>242</v>
      </c>
      <c r="AN5" t="str">
        <f>""""&amp;AM5&amp;""","</f>
        <v>"mm3",</v>
      </c>
      <c r="AP5" t="s">
        <v>259</v>
      </c>
      <c r="AQ5" t="str">
        <f t="shared" si="8"/>
        <v>"mm4",</v>
      </c>
    </row>
    <row r="6" spans="1:45" x14ac:dyDescent="0.25">
      <c r="A6" t="s">
        <v>111</v>
      </c>
      <c r="B6" t="str">
        <f t="shared" si="0"/>
        <v>"g/min",</v>
      </c>
      <c r="D6" t="s">
        <v>12</v>
      </c>
      <c r="E6" t="str">
        <f t="shared" si="9"/>
        <v>"cm3/s",</v>
      </c>
      <c r="G6" t="s">
        <v>121</v>
      </c>
      <c r="H6" t="str">
        <f t="shared" si="1"/>
        <v>"g/cm3",</v>
      </c>
      <c r="J6" t="s">
        <v>50</v>
      </c>
      <c r="K6" t="str">
        <f t="shared" si="10"/>
        <v>"slpm",</v>
      </c>
      <c r="M6" t="s">
        <v>101</v>
      </c>
      <c r="N6" t="str">
        <f t="shared" si="11"/>
        <v>"in",</v>
      </c>
      <c r="S6" t="str">
        <f t="shared" si="12"/>
        <v>in/s</v>
      </c>
      <c r="T6" t="str">
        <f t="shared" si="3"/>
        <v>"in/s",</v>
      </c>
      <c r="AB6" t="s">
        <v>2</v>
      </c>
      <c r="AC6" t="str">
        <f t="shared" si="4"/>
        <v>"K",</v>
      </c>
      <c r="AG6" t="s">
        <v>207</v>
      </c>
      <c r="AH6" t="str">
        <f t="shared" si="5"/>
        <v>"ksi",</v>
      </c>
      <c r="AJ6" t="s">
        <v>218</v>
      </c>
      <c r="AK6" t="str">
        <f t="shared" si="6"/>
        <v>"in2",</v>
      </c>
      <c r="AM6" t="s">
        <v>243</v>
      </c>
      <c r="AN6" t="str">
        <f>""""&amp;AM6&amp;""","</f>
        <v>"in3",</v>
      </c>
      <c r="AP6" t="s">
        <v>260</v>
      </c>
      <c r="AQ6" t="str">
        <f t="shared" si="8"/>
        <v>"in4",</v>
      </c>
    </row>
    <row r="7" spans="1:45" x14ac:dyDescent="0.25">
      <c r="A7" t="s">
        <v>38</v>
      </c>
      <c r="B7" t="str">
        <f t="shared" si="0"/>
        <v>"g/hr",</v>
      </c>
      <c r="D7" t="s">
        <v>114</v>
      </c>
      <c r="E7" t="str">
        <f t="shared" si="9"/>
        <v>"cm3/min",</v>
      </c>
      <c r="G7" t="s">
        <v>28</v>
      </c>
      <c r="H7" t="str">
        <f t="shared" si="1"/>
        <v>"g/L",</v>
      </c>
      <c r="J7" t="s">
        <v>51</v>
      </c>
      <c r="K7" t="str">
        <f t="shared" si="10"/>
        <v>"slph",</v>
      </c>
      <c r="M7" t="s">
        <v>102</v>
      </c>
      <c r="N7" t="str">
        <f t="shared" si="11"/>
        <v>"ft",</v>
      </c>
      <c r="S7" t="str">
        <f t="shared" si="12"/>
        <v>ft/s</v>
      </c>
      <c r="T7" t="str">
        <f t="shared" si="3"/>
        <v>"ft/s",</v>
      </c>
      <c r="W7" t="s">
        <v>162</v>
      </c>
      <c r="AB7" t="s">
        <v>8</v>
      </c>
      <c r="AC7" t="str">
        <f t="shared" si="4"/>
        <v>"R",</v>
      </c>
      <c r="AG7" t="s">
        <v>197</v>
      </c>
      <c r="AH7" t="str">
        <f t="shared" ref="AH7:AH17" si="13">""""&amp;AG7&amp;""","</f>
        <v>"lbf/in2",</v>
      </c>
      <c r="AJ7" t="s">
        <v>227</v>
      </c>
      <c r="AK7" t="str">
        <f t="shared" si="6"/>
        <v>"ft2",</v>
      </c>
      <c r="AM7" t="s">
        <v>244</v>
      </c>
      <c r="AN7" t="str">
        <f>""""&amp;AM7&amp;""","</f>
        <v>"ft3",</v>
      </c>
      <c r="AP7" t="s">
        <v>261</v>
      </c>
      <c r="AQ7" t="str">
        <f t="shared" si="8"/>
        <v>"ft4",</v>
      </c>
    </row>
    <row r="8" spans="1:45" x14ac:dyDescent="0.25">
      <c r="A8" t="s">
        <v>39</v>
      </c>
      <c r="B8" t="str">
        <f t="shared" si="0"/>
        <v>"lbm/s",</v>
      </c>
      <c r="D8" t="s">
        <v>13</v>
      </c>
      <c r="E8" t="str">
        <f t="shared" si="9"/>
        <v>"cm3/hr",</v>
      </c>
      <c r="G8" t="s">
        <v>29</v>
      </c>
      <c r="H8" t="str">
        <f t="shared" si="1"/>
        <v>"lbm/in3",</v>
      </c>
      <c r="J8" t="s">
        <v>52</v>
      </c>
      <c r="K8" t="str">
        <f t="shared" si="10"/>
        <v>"sccs",</v>
      </c>
      <c r="M8" t="s">
        <v>103</v>
      </c>
      <c r="N8" t="str">
        <f t="shared" si="11"/>
        <v>"yd",</v>
      </c>
      <c r="S8" t="str">
        <f t="shared" si="12"/>
        <v>yd/s</v>
      </c>
      <c r="T8" t="str">
        <f t="shared" si="3"/>
        <v>"yd/s",</v>
      </c>
      <c r="W8" t="str">
        <f>$T3</f>
        <v>"m/s",</v>
      </c>
      <c r="AB8" t="s">
        <v>180</v>
      </c>
      <c r="AC8" t="str">
        <f t="shared" si="4"/>
        <v>"Rank",</v>
      </c>
      <c r="AG8" t="s">
        <v>198</v>
      </c>
      <c r="AH8" t="str">
        <f t="shared" si="13"/>
        <v>"lb/in2",</v>
      </c>
      <c r="AJ8" t="s">
        <v>228</v>
      </c>
      <c r="AK8" t="str">
        <f t="shared" si="6"/>
        <v>"yd2",</v>
      </c>
      <c r="AM8" t="s">
        <v>245</v>
      </c>
      <c r="AN8" t="str">
        <f>""""&amp;AM8&amp;""","</f>
        <v>"yd3",</v>
      </c>
      <c r="AP8" t="s">
        <v>262</v>
      </c>
      <c r="AQ8" t="str">
        <f t="shared" si="8"/>
        <v>"yd4",</v>
      </c>
    </row>
    <row r="9" spans="1:45" x14ac:dyDescent="0.25">
      <c r="A9" t="s">
        <v>112</v>
      </c>
      <c r="B9" t="str">
        <f t="shared" si="0"/>
        <v>"lbm/min",</v>
      </c>
      <c r="D9" t="s">
        <v>14</v>
      </c>
      <c r="E9" t="str">
        <f t="shared" si="9"/>
        <v>"L/s",</v>
      </c>
      <c r="G9" t="s">
        <v>30</v>
      </c>
      <c r="H9" t="str">
        <f t="shared" si="1"/>
        <v>"lbm/ft3",</v>
      </c>
      <c r="J9" t="s">
        <v>53</v>
      </c>
      <c r="K9" t="str">
        <f t="shared" si="10"/>
        <v>"sccm",</v>
      </c>
      <c r="M9" t="s">
        <v>104</v>
      </c>
      <c r="N9" t="str">
        <f t="shared" si="11"/>
        <v>"mi",</v>
      </c>
      <c r="S9" t="str">
        <f t="shared" si="12"/>
        <v>mi/s</v>
      </c>
      <c r="T9" t="str">
        <f t="shared" si="3"/>
        <v>"mi/s",</v>
      </c>
      <c r="W9" t="str">
        <f>$T11</f>
        <v>"m/min",</v>
      </c>
      <c r="AB9" t="s">
        <v>181</v>
      </c>
      <c r="AC9" t="str">
        <f t="shared" si="4"/>
        <v>"Rankine",</v>
      </c>
      <c r="AG9" t="s">
        <v>199</v>
      </c>
      <c r="AH9" t="str">
        <f t="shared" si="13"/>
        <v>"mmHg",</v>
      </c>
      <c r="AJ9" t="s">
        <v>229</v>
      </c>
      <c r="AK9" t="str">
        <f t="shared" si="6"/>
        <v>"mi2",</v>
      </c>
      <c r="AM9" t="s">
        <v>246</v>
      </c>
      <c r="AN9" t="str">
        <f>""""&amp;AM9&amp;""","</f>
        <v>"mi3",</v>
      </c>
      <c r="AP9" t="s">
        <v>263</v>
      </c>
      <c r="AQ9" t="str">
        <f t="shared" si="8"/>
        <v>"mi4",</v>
      </c>
      <c r="AS9" t="s">
        <v>276</v>
      </c>
    </row>
    <row r="10" spans="1:45" x14ac:dyDescent="0.25">
      <c r="A10" t="s">
        <v>40</v>
      </c>
      <c r="B10" t="str">
        <f t="shared" si="0"/>
        <v>"lbm/hr",</v>
      </c>
      <c r="D10" t="s">
        <v>122</v>
      </c>
      <c r="E10" t="str">
        <f t="shared" si="9"/>
        <v>"lps",</v>
      </c>
      <c r="G10" t="s">
        <v>31</v>
      </c>
      <c r="H10" t="str">
        <f t="shared" si="1"/>
        <v>"lbm/gal",</v>
      </c>
      <c r="J10" t="s">
        <v>54</v>
      </c>
      <c r="K10" t="str">
        <f t="shared" si="10"/>
        <v>"scch",</v>
      </c>
      <c r="M10" t="s">
        <v>83</v>
      </c>
      <c r="N10" t="str">
        <f>"Case "&amp;LEFT(_xlfn.CONCAT(N2:N9),LEN(_xlfn.CONCAT(N2:N9))-1)</f>
        <v>Case "km","m","cm","mm","in","ft","yd","mi"</v>
      </c>
      <c r="S10" t="str">
        <f>M2&amp;"/"&amp;$P$3</f>
        <v>km/min</v>
      </c>
      <c r="T10" t="str">
        <f t="shared" si="3"/>
        <v>"km/min",</v>
      </c>
      <c r="W10" t="str">
        <f>$T19</f>
        <v>"m/hr",</v>
      </c>
      <c r="AB10" t="s">
        <v>83</v>
      </c>
      <c r="AC10" t="str">
        <f>"Case "&amp;LEFT(_xlfn.CONCAT(AC2:AC9),LEN(_xlfn.CONCAT(AC2:AC9))-1)</f>
        <v>Case "F","°F","C","°C","K","R","Rank","Rankine"</v>
      </c>
      <c r="AG10" t="s">
        <v>200</v>
      </c>
      <c r="AH10" t="str">
        <f t="shared" si="13"/>
        <v>"atm",</v>
      </c>
      <c r="AJ10" t="s">
        <v>230</v>
      </c>
      <c r="AK10" t="str">
        <f t="shared" si="6"/>
        <v>"km^2",</v>
      </c>
      <c r="AM10" t="s">
        <v>273</v>
      </c>
      <c r="AN10" t="str">
        <f>""""&amp;AM10&amp;""","</f>
        <v>"ml",</v>
      </c>
      <c r="AP10" t="s">
        <v>264</v>
      </c>
      <c r="AQ10" t="str">
        <f t="shared" si="8"/>
        <v>"km^4",</v>
      </c>
      <c r="AS10" t="s">
        <v>230</v>
      </c>
    </row>
    <row r="11" spans="1:45" x14ac:dyDescent="0.25">
      <c r="A11" t="s">
        <v>83</v>
      </c>
      <c r="B11" t="str">
        <f>"Case "&amp;LEFT(_xlfn.CONCAT(B2:B10),LEN(_xlfn.CONCAT(B2:B10))-1)</f>
        <v>Case "kg/s","kg/min","kg/hr","g/s","g/min","g/hr","lbm/s","lbm/min","lbm/hr"</v>
      </c>
      <c r="D11" t="s">
        <v>115</v>
      </c>
      <c r="E11" t="str">
        <f t="shared" ref="E11:E24" si="14">""""&amp;D11&amp;""","</f>
        <v>"L/min",</v>
      </c>
      <c r="G11" t="s">
        <v>83</v>
      </c>
      <c r="H11" t="str">
        <f>"Case "&amp;LEFT(_xlfn.CONCAT(H2:H10),LEN(_xlfn.CONCAT(H2:H10))-1)</f>
        <v>Case "kg/m3","kg/cm3","kg/L","g/m3","g/cm3","g/L","lbm/in3","lbm/ft3","lbm/gal"</v>
      </c>
      <c r="J11" t="s">
        <v>55</v>
      </c>
      <c r="K11" t="str">
        <f t="shared" si="10"/>
        <v>"scfs",</v>
      </c>
      <c r="S11" t="str">
        <f t="shared" ref="S11:S17" si="15">M3&amp;"/"&amp;$P$3</f>
        <v>m/min</v>
      </c>
      <c r="T11" t="str">
        <f t="shared" si="3"/>
        <v>"m/min",</v>
      </c>
      <c r="V11" t="s">
        <v>164</v>
      </c>
      <c r="W11" t="str">
        <f>"Case "&amp;LEFT(_xlfn.CONCAT(W8:W10),LEN(_xlfn.CONCAT(W8:W10))-1)</f>
        <v>Case "m/s","m/min","m/hr"</v>
      </c>
      <c r="AG11" t="s">
        <v>3</v>
      </c>
      <c r="AH11" t="str">
        <f t="shared" si="13"/>
        <v>"Pa",</v>
      </c>
      <c r="AJ11" t="s">
        <v>231</v>
      </c>
      <c r="AK11" t="str">
        <f t="shared" si="6"/>
        <v>"m^2",</v>
      </c>
      <c r="AM11" t="s">
        <v>274</v>
      </c>
      <c r="AN11" t="str">
        <f>""""&amp;AM11&amp;""","</f>
        <v>"mL",</v>
      </c>
      <c r="AP11" t="s">
        <v>265</v>
      </c>
      <c r="AQ11" t="str">
        <f t="shared" si="8"/>
        <v>"m^4",</v>
      </c>
      <c r="AS11" t="s">
        <v>231</v>
      </c>
    </row>
    <row r="12" spans="1:45" x14ac:dyDescent="0.25">
      <c r="D12" t="s">
        <v>120</v>
      </c>
      <c r="E12" t="str">
        <f t="shared" si="14"/>
        <v>"lpm",</v>
      </c>
      <c r="J12" t="s">
        <v>56</v>
      </c>
      <c r="K12" t="str">
        <f t="shared" si="10"/>
        <v>"scfm",</v>
      </c>
      <c r="S12" t="str">
        <f t="shared" si="15"/>
        <v>cm/min</v>
      </c>
      <c r="T12" t="str">
        <f t="shared" si="3"/>
        <v>"cm/min",</v>
      </c>
      <c r="AB12" t="s">
        <v>183</v>
      </c>
      <c r="AC12" t="s">
        <v>190</v>
      </c>
      <c r="AD12" t="s">
        <v>191</v>
      </c>
      <c r="AG12" t="s">
        <v>70</v>
      </c>
      <c r="AH12" t="str">
        <f t="shared" si="13"/>
        <v>"kPa",</v>
      </c>
      <c r="AJ12" t="s">
        <v>232</v>
      </c>
      <c r="AK12" t="str">
        <f t="shared" si="6"/>
        <v>"cm^2",</v>
      </c>
      <c r="AM12" t="s">
        <v>272</v>
      </c>
      <c r="AN12" t="str">
        <f>""""&amp;AM12&amp;""","</f>
        <v>"L",</v>
      </c>
      <c r="AP12" t="s">
        <v>266</v>
      </c>
      <c r="AQ12" t="str">
        <f t="shared" si="8"/>
        <v>"cm^4",</v>
      </c>
      <c r="AS12" t="s">
        <v>232</v>
      </c>
    </row>
    <row r="13" spans="1:45" x14ac:dyDescent="0.25">
      <c r="D13" t="s">
        <v>15</v>
      </c>
      <c r="E13" t="str">
        <f t="shared" si="14"/>
        <v>"L/hr",</v>
      </c>
      <c r="J13" t="s">
        <v>57</v>
      </c>
      <c r="K13" t="str">
        <f t="shared" si="10"/>
        <v>"scfh",</v>
      </c>
      <c r="S13" t="str">
        <f t="shared" si="15"/>
        <v>mm/min</v>
      </c>
      <c r="T13" t="str">
        <f t="shared" si="3"/>
        <v>"mm/min",</v>
      </c>
      <c r="W13" t="s">
        <v>163</v>
      </c>
      <c r="AB13" t="str">
        <f>$AC2</f>
        <v>"F",</v>
      </c>
      <c r="AD13" t="s">
        <v>192</v>
      </c>
      <c r="AG13" t="s">
        <v>201</v>
      </c>
      <c r="AH13" t="str">
        <f t="shared" si="13"/>
        <v>"MPa",</v>
      </c>
      <c r="AJ13" t="s">
        <v>233</v>
      </c>
      <c r="AK13" t="str">
        <f t="shared" si="6"/>
        <v>"mm^2",</v>
      </c>
      <c r="AM13" t="s">
        <v>275</v>
      </c>
      <c r="AN13" t="str">
        <f>""""&amp;AM13&amp;""","</f>
        <v>"gal",</v>
      </c>
      <c r="AP13" t="s">
        <v>267</v>
      </c>
      <c r="AQ13" t="str">
        <f t="shared" si="8"/>
        <v>"mm^4",</v>
      </c>
      <c r="AS13" t="s">
        <v>233</v>
      </c>
    </row>
    <row r="14" spans="1:45" x14ac:dyDescent="0.25">
      <c r="D14" t="s">
        <v>16</v>
      </c>
      <c r="E14" t="str">
        <f t="shared" si="14"/>
        <v>"in3/s",</v>
      </c>
      <c r="J14" t="s">
        <v>58</v>
      </c>
      <c r="K14" t="str">
        <f t="shared" si="10"/>
        <v>"scis",</v>
      </c>
      <c r="S14" t="str">
        <f t="shared" si="15"/>
        <v>in/min</v>
      </c>
      <c r="T14" t="str">
        <f t="shared" si="3"/>
        <v>"in/min",</v>
      </c>
      <c r="W14" t="str">
        <f>$T4</f>
        <v>"cm/s",</v>
      </c>
      <c r="AB14" t="str">
        <f>$AC3</f>
        <v>"°F",</v>
      </c>
      <c r="AG14" t="s">
        <v>202</v>
      </c>
      <c r="AH14" t="str">
        <f t="shared" si="13"/>
        <v>"GPa",</v>
      </c>
      <c r="AJ14" t="s">
        <v>234</v>
      </c>
      <c r="AK14" t="str">
        <f t="shared" si="6"/>
        <v>"in^2",</v>
      </c>
      <c r="AM14" t="s">
        <v>247</v>
      </c>
      <c r="AN14" t="str">
        <f>""""&amp;AM14&amp;""","</f>
        <v>"km^3",</v>
      </c>
      <c r="AP14" t="s">
        <v>268</v>
      </c>
      <c r="AQ14" t="str">
        <f t="shared" si="8"/>
        <v>"in^4",</v>
      </c>
      <c r="AS14" t="s">
        <v>234</v>
      </c>
    </row>
    <row r="15" spans="1:45" x14ac:dyDescent="0.25">
      <c r="D15" t="s">
        <v>116</v>
      </c>
      <c r="E15" t="str">
        <f t="shared" si="14"/>
        <v>"in3/min",</v>
      </c>
      <c r="J15" t="s">
        <v>59</v>
      </c>
      <c r="K15" t="str">
        <f t="shared" si="10"/>
        <v>"scim",</v>
      </c>
      <c r="S15" t="str">
        <f t="shared" si="15"/>
        <v>ft/min</v>
      </c>
      <c r="T15" t="str">
        <f t="shared" si="3"/>
        <v>"ft/min",</v>
      </c>
      <c r="W15" t="str">
        <f>$T12</f>
        <v>"cm/min",</v>
      </c>
      <c r="AC15" t="s">
        <v>193</v>
      </c>
      <c r="AG15" t="s">
        <v>203</v>
      </c>
      <c r="AH15" t="str">
        <f t="shared" si="13"/>
        <v>"torr",</v>
      </c>
      <c r="AJ15" t="s">
        <v>235</v>
      </c>
      <c r="AK15" t="str">
        <f t="shared" si="6"/>
        <v>"ft^2",</v>
      </c>
      <c r="AM15" t="s">
        <v>248</v>
      </c>
      <c r="AN15" t="str">
        <f>""""&amp;AM15&amp;""","</f>
        <v>"m^3",</v>
      </c>
      <c r="AP15" t="s">
        <v>269</v>
      </c>
      <c r="AQ15" t="str">
        <f t="shared" si="8"/>
        <v>"ft^4",</v>
      </c>
      <c r="AS15" t="s">
        <v>235</v>
      </c>
    </row>
    <row r="16" spans="1:45" x14ac:dyDescent="0.25">
      <c r="D16" t="s">
        <v>17</v>
      </c>
      <c r="E16" t="str">
        <f t="shared" si="14"/>
        <v>"in3/hr",</v>
      </c>
      <c r="J16" t="s">
        <v>60</v>
      </c>
      <c r="K16" t="str">
        <f t="shared" si="10"/>
        <v>"scih",</v>
      </c>
      <c r="S16" t="str">
        <f t="shared" si="15"/>
        <v>yd/min</v>
      </c>
      <c r="T16" t="str">
        <f t="shared" si="3"/>
        <v>"yd/min",</v>
      </c>
      <c r="W16" t="str">
        <f>$T20</f>
        <v>"cm/hr",</v>
      </c>
      <c r="AB16" t="s">
        <v>184</v>
      </c>
      <c r="AC16" t="s">
        <v>182</v>
      </c>
      <c r="AD16" t="str">
        <f>"Case "&amp;LEFT(_xlfn.CONCAT($AB$13:$AB$14),LEN(_xlfn.CONCAT($AB$13:$AB$14))-1)</f>
        <v>Case "F","°F"</v>
      </c>
      <c r="AE16" t="s">
        <v>62</v>
      </c>
      <c r="AG16" t="s">
        <v>205</v>
      </c>
      <c r="AH16" t="str">
        <f t="shared" si="13"/>
        <v>"Torr",</v>
      </c>
      <c r="AJ16" t="s">
        <v>236</v>
      </c>
      <c r="AK16" t="str">
        <f t="shared" si="6"/>
        <v>"yd^2",</v>
      </c>
      <c r="AM16" t="s">
        <v>249</v>
      </c>
      <c r="AN16" t="str">
        <f>""""&amp;AM16&amp;""","</f>
        <v>"cm^3",</v>
      </c>
      <c r="AP16" t="s">
        <v>270</v>
      </c>
      <c r="AQ16" t="str">
        <f t="shared" si="8"/>
        <v>"yd^4",</v>
      </c>
      <c r="AS16" t="s">
        <v>236</v>
      </c>
    </row>
    <row r="17" spans="4:52" x14ac:dyDescent="0.25">
      <c r="D17" t="s">
        <v>18</v>
      </c>
      <c r="E17" t="str">
        <f t="shared" si="14"/>
        <v>"ft3/s",</v>
      </c>
      <c r="J17" t="s">
        <v>83</v>
      </c>
      <c r="K17" t="str">
        <f>"Case "&amp;LEFT(_xlfn.CONCAT(K2:K16),LEN(_xlfn.CONCAT(K2:K16))-1)</f>
        <v>Case "scms","scmm","scmh","slps","slpm","slph","sccs","sccm","scch","scfs","scfm","scfh","scis","scim","scih"</v>
      </c>
      <c r="S17" t="str">
        <f t="shared" si="15"/>
        <v>mi/min</v>
      </c>
      <c r="T17" t="str">
        <f t="shared" si="3"/>
        <v>"mi/min",</v>
      </c>
      <c r="V17" t="s">
        <v>165</v>
      </c>
      <c r="W17" t="str">
        <f>"Case "&amp;LEFT(_xlfn.CONCAT(W14:W16),LEN(_xlfn.CONCAT(W14:W16))-1)</f>
        <v>Case "cm/s","cm/min","cm/hr"</v>
      </c>
      <c r="AB17" t="str">
        <f>$AC4</f>
        <v>"C",</v>
      </c>
      <c r="AD17" t="str">
        <f>$AD$12&amp;" = "&amp;""""&amp;AE16&amp;""""</f>
        <v>from_unit_unit = "F"</v>
      </c>
      <c r="AG17" t="s">
        <v>204</v>
      </c>
      <c r="AH17" t="str">
        <f t="shared" si="13"/>
        <v>"bar",</v>
      </c>
      <c r="AJ17" t="s">
        <v>237</v>
      </c>
      <c r="AK17" t="str">
        <f t="shared" si="6"/>
        <v>"mi^2",</v>
      </c>
      <c r="AM17" t="s">
        <v>250</v>
      </c>
      <c r="AN17" t="str">
        <f>""""&amp;AM17&amp;""","</f>
        <v>"mm^3",</v>
      </c>
      <c r="AP17" t="s">
        <v>271</v>
      </c>
      <c r="AQ17" t="str">
        <f t="shared" si="8"/>
        <v>"mi^4",</v>
      </c>
      <c r="AS17" t="s">
        <v>237</v>
      </c>
    </row>
    <row r="18" spans="4:52" x14ac:dyDescent="0.25">
      <c r="D18" t="s">
        <v>117</v>
      </c>
      <c r="E18" t="str">
        <f t="shared" si="14"/>
        <v>"ft3/min",</v>
      </c>
      <c r="S18" t="str">
        <f>M2&amp;"/"&amp;$P$4</f>
        <v>km/hr</v>
      </c>
      <c r="T18" t="str">
        <f t="shared" si="3"/>
        <v>"km/hr",</v>
      </c>
      <c r="AB18" t="str">
        <f>$AC5</f>
        <v>"°C",</v>
      </c>
      <c r="AC18" t="s">
        <v>187</v>
      </c>
      <c r="AD18" t="str">
        <f>"Case "&amp;LEFT(_xlfn.CONCAT($AB$17:$AB$18),LEN(_xlfn.CONCAT($AB$17:$AB$18))-1)</f>
        <v>Case "C","°C"</v>
      </c>
      <c r="AE18" t="s">
        <v>177</v>
      </c>
      <c r="AH18" t="str">
        <f>"Case "&amp;LEFT(_xlfn.CONCAT(AH2:AH17),LEN(_xlfn.CONCAT(AH2:AH17))-1)</f>
        <v>Case "psia","psig","psid","psi","ksi","lbf/in2","lb/in2","mmHg","atm","Pa","kPa","MPa","GPa","torr","Torr","bar"</v>
      </c>
      <c r="AK18" t="str">
        <f>"Case "&amp;LEFT(_xlfn.CONCAT(AK2:AK17),LEN(_xlfn.CONCAT(AK2:AK17))-1)</f>
        <v>Case "km2","m2","cm2","mm2","in2","ft2","yd2","mi2","km^2","m^2","cm^2","mm^2","in^2","ft^2","yd^2","mi^2"</v>
      </c>
      <c r="AM18" t="s">
        <v>251</v>
      </c>
      <c r="AN18" t="str">
        <f>""""&amp;AM18&amp;""","</f>
        <v>"in^3",</v>
      </c>
      <c r="AQ18" t="str">
        <f>"Case "&amp;LEFT(_xlfn.CONCAT(AQ2:AQ17),LEN(_xlfn.CONCAT(AQ2:AQ17))-1)</f>
        <v>Case "km4","m4","cm4","mm4","in4","ft4","yd4","mi4","km^4","m^4","cm^4","mm^4","in^4","ft^4","yd^4","mi^4"</v>
      </c>
    </row>
    <row r="19" spans="4:52" x14ac:dyDescent="0.25">
      <c r="D19" t="s">
        <v>19</v>
      </c>
      <c r="E19" t="str">
        <f t="shared" si="14"/>
        <v>"ft3/hr",</v>
      </c>
      <c r="S19" t="str">
        <f t="shared" ref="S19:S25" si="16">M3&amp;"/"&amp;$P$4</f>
        <v>m/hr</v>
      </c>
      <c r="T19" t="str">
        <f t="shared" si="3"/>
        <v>"m/hr",</v>
      </c>
      <c r="W19" t="s">
        <v>166</v>
      </c>
      <c r="AD19" t="str">
        <f>$AD$12&amp;" = "&amp;""""&amp;AE18&amp;""""</f>
        <v>from_unit_unit = "C"</v>
      </c>
      <c r="AH19" t="str">
        <f>"fluidUnitType = "&amp;""""&amp;"Pressure"&amp;""""</f>
        <v>fluidUnitType = "Pressure"</v>
      </c>
      <c r="AM19" t="s">
        <v>252</v>
      </c>
      <c r="AN19" t="str">
        <f>""""&amp;AM19&amp;""","</f>
        <v>"ft^3",</v>
      </c>
    </row>
    <row r="20" spans="4:52" x14ac:dyDescent="0.25">
      <c r="D20" t="s">
        <v>20</v>
      </c>
      <c r="E20" t="str">
        <f t="shared" si="14"/>
        <v>"gal/s",</v>
      </c>
      <c r="S20" t="str">
        <f t="shared" si="16"/>
        <v>cm/hr</v>
      </c>
      <c r="T20" t="str">
        <f t="shared" si="3"/>
        <v>"cm/hr",</v>
      </c>
      <c r="W20" t="str">
        <f>$T5</f>
        <v>"mm/s",</v>
      </c>
      <c r="AB20" t="s">
        <v>185</v>
      </c>
      <c r="AC20" t="s">
        <v>188</v>
      </c>
      <c r="AD20" t="str">
        <f>"Case "&amp;LEFT(_xlfn.CONCAT($AB$21),LEN(_xlfn.CONCAT($AB$21))-1)</f>
        <v>Case "K"</v>
      </c>
      <c r="AE20" t="s">
        <v>2</v>
      </c>
      <c r="AM20" t="s">
        <v>253</v>
      </c>
      <c r="AN20" t="str">
        <f>""""&amp;AM20&amp;""","</f>
        <v>"yd^3",</v>
      </c>
    </row>
    <row r="21" spans="4:52" x14ac:dyDescent="0.25">
      <c r="D21" t="s">
        <v>123</v>
      </c>
      <c r="E21" t="str">
        <f t="shared" si="14"/>
        <v>"gps",</v>
      </c>
      <c r="S21" t="str">
        <f t="shared" si="16"/>
        <v>mm/hr</v>
      </c>
      <c r="T21" t="str">
        <f t="shared" si="3"/>
        <v>"mm/hr",</v>
      </c>
      <c r="W21" t="str">
        <f>$T13</f>
        <v>"mm/min",</v>
      </c>
      <c r="AB21" t="str">
        <f>$AC6</f>
        <v>"K",</v>
      </c>
      <c r="AD21" t="str">
        <f>$AD$12&amp;" = "&amp;""""&amp;AE20&amp;""""</f>
        <v>from_unit_unit = "K"</v>
      </c>
      <c r="AG21" t="str">
        <f>AH5</f>
        <v>"psi",</v>
      </c>
      <c r="AM21" t="s">
        <v>254</v>
      </c>
      <c r="AN21" t="str">
        <f>""""&amp;AM21&amp;""","</f>
        <v>"mi^3",</v>
      </c>
    </row>
    <row r="22" spans="4:52" x14ac:dyDescent="0.25">
      <c r="D22" t="s">
        <v>118</v>
      </c>
      <c r="E22" t="str">
        <f t="shared" si="14"/>
        <v>"gal/min",</v>
      </c>
      <c r="S22" t="str">
        <f t="shared" si="16"/>
        <v>in/hr</v>
      </c>
      <c r="T22" t="str">
        <f t="shared" si="3"/>
        <v>"in/hr",</v>
      </c>
      <c r="W22" t="str">
        <f>$T21</f>
        <v>"mm/hr",</v>
      </c>
      <c r="AC22" t="s">
        <v>189</v>
      </c>
      <c r="AD22" t="str">
        <f>"Case "&amp;LEFT(_xlfn.CONCAT($AB$24:$AB$26),LEN(_xlfn.CONCAT($AB$24:$AB$26))-1)</f>
        <v>Case "R","Rank","Rankine"</v>
      </c>
      <c r="AE22" t="s">
        <v>180</v>
      </c>
      <c r="AG22" t="str">
        <f>AH9</f>
        <v>"mmHg",</v>
      </c>
      <c r="AN22" t="str">
        <f>"Case "&amp;LEFT(_xlfn.CONCAT(AN2:AN21),LEN(_xlfn.CONCAT(AN2:AN21))-1)</f>
        <v>Case "km3","m3","cm3","mm3","in3","ft3","yd3","mi3","ml","mL","L","gal","km^3","m^3","cm^3","mm^3","in^3","ft^3","yd^3","mi^3"</v>
      </c>
    </row>
    <row r="23" spans="4:52" x14ac:dyDescent="0.25">
      <c r="D23" t="s">
        <v>119</v>
      </c>
      <c r="E23" t="str">
        <f t="shared" si="14"/>
        <v>"gpm",</v>
      </c>
      <c r="S23" t="str">
        <f t="shared" si="16"/>
        <v>ft/hr</v>
      </c>
      <c r="T23" t="str">
        <f t="shared" si="3"/>
        <v>"ft/hr",</v>
      </c>
      <c r="V23" t="s">
        <v>167</v>
      </c>
      <c r="W23" t="str">
        <f>"Case "&amp;LEFT(_xlfn.CONCAT(W20:W22),LEN(_xlfn.CONCAT(W20:W22))-1)</f>
        <v>Case "mm/s","mm/min","mm/hr"</v>
      </c>
      <c r="AB23" t="s">
        <v>186</v>
      </c>
      <c r="AD23" t="str">
        <f>$AD$12&amp;" = "&amp;""""&amp;AE22&amp;""""</f>
        <v>from_unit_unit = "Rank"</v>
      </c>
      <c r="AG23" t="str">
        <f>AH10</f>
        <v>"atm",</v>
      </c>
    </row>
    <row r="24" spans="4:52" x14ac:dyDescent="0.25">
      <c r="D24" t="s">
        <v>21</v>
      </c>
      <c r="E24" t="str">
        <f t="shared" si="14"/>
        <v>"gal/hr",</v>
      </c>
      <c r="S24" t="str">
        <f>M8&amp;"/"&amp;$P$4</f>
        <v>yd/hr</v>
      </c>
      <c r="T24" t="str">
        <f t="shared" si="3"/>
        <v>"yd/hr",</v>
      </c>
      <c r="AB24" t="str">
        <f>$AC7</f>
        <v>"R",</v>
      </c>
      <c r="AG24" t="str">
        <f>AH11</f>
        <v>"Pa",</v>
      </c>
    </row>
    <row r="25" spans="4:52" x14ac:dyDescent="0.25">
      <c r="D25" t="s">
        <v>83</v>
      </c>
      <c r="E25" t="str">
        <f>"Case "&amp;LEFT(_xlfn.CONCAT(E2:E24),LEN(_xlfn.CONCAT(E2:E24))-1)</f>
        <v>Case "ccs","m3/s","m3/min","m3/hr","cm3/s","cm3/min","cm3/hr","L/s","lps","L/min","lpm","L/hr","in3/s","in3/min","in3/hr","ft3/s","ft3/min","ft3/hr","gal/s","gps","gal/min","gpm","gal/hr"</v>
      </c>
      <c r="S25" t="str">
        <f t="shared" si="16"/>
        <v>mi/hr</v>
      </c>
      <c r="T25" t="str">
        <f t="shared" si="3"/>
        <v>"mi/hr",</v>
      </c>
      <c r="W25" t="s">
        <v>168</v>
      </c>
      <c r="AB25" t="str">
        <f>$AC8</f>
        <v>"Rank",</v>
      </c>
      <c r="AC25" t="s">
        <v>182</v>
      </c>
      <c r="AD25" t="str">
        <f>"Case "&amp;LEFT(_xlfn.CONCAT($AB$13:$AB$14),LEN(_xlfn.CONCAT($AB$13:$AB$14))-1)</f>
        <v>Case "F","°F"</v>
      </c>
      <c r="AE25" t="s">
        <v>62</v>
      </c>
      <c r="AG25" t="str">
        <f>AH16</f>
        <v>"Torr",</v>
      </c>
      <c r="AJ25" t="str">
        <f>"Case "&amp;AK2&amp;AK10</f>
        <v>Case "km2","km^2",</v>
      </c>
      <c r="AK25">
        <v>34</v>
      </c>
      <c r="AL25" t="str" cm="1">
        <f t="array" aca="1" ref="AL25" ca="1">INDIRECT("AJ"&amp;AK25)</f>
        <v>Case "km2","km^2"</v>
      </c>
      <c r="AN25" t="str">
        <f>"Case "&amp;AN2&amp;AN14</f>
        <v>Case "km3","km^3",</v>
      </c>
      <c r="AQ25">
        <v>34</v>
      </c>
      <c r="AR25" t="str" cm="1">
        <f t="array" aca="1" ref="AR25" ca="1">INDIRECT("AN"&amp;AQ25)</f>
        <v>Case "km3","km^3"</v>
      </c>
      <c r="AW25" t="str">
        <f>"Case "&amp;AQ2&amp;AQ10</f>
        <v>Case "km4","km^4",</v>
      </c>
      <c r="AY25">
        <v>34</v>
      </c>
      <c r="AZ25" t="str" cm="1">
        <f t="array" aca="1" ref="AZ25" ca="1">INDIRECT("AW"&amp;AY25)</f>
        <v>Case "km4","km^4"</v>
      </c>
    </row>
    <row r="26" spans="4:52" x14ac:dyDescent="0.25">
      <c r="S26" t="s">
        <v>124</v>
      </c>
      <c r="T26" t="str">
        <f t="shared" si="3"/>
        <v>"mph",</v>
      </c>
      <c r="W26" t="str">
        <f>$T6</f>
        <v>"in/s",</v>
      </c>
      <c r="AB26" t="str">
        <f>$AC9</f>
        <v>"Rankine",</v>
      </c>
      <c r="AD26" t="str">
        <f>$AD$13&amp;" = "&amp;""""&amp;AE25&amp;""""</f>
        <v>to_unit_unit = "F"</v>
      </c>
      <c r="AG26" t="str">
        <f>"Case "&amp;LEFT(_xlfn.CONCAT(AG21:AG25),LEN(_xlfn.CONCAT(AG21:AG25))-1)</f>
        <v>Case "psi","mmHg","atm","Pa","Torr"</v>
      </c>
      <c r="AJ26" t="str">
        <f>"Case "&amp;AK3&amp;AK11</f>
        <v>Case "m2","m^2",</v>
      </c>
      <c r="AK26">
        <v>43</v>
      </c>
      <c r="AL26" t="str" cm="1">
        <f t="array" aca="1" ref="AL26" ca="1">INDIRECT("AJ"&amp;AK26)</f>
        <v>from_unit_unit = "km^2"</v>
      </c>
      <c r="AN26" t="str">
        <f>"Case "&amp;AN3&amp;AN15</f>
        <v>Case "m3","m^3",</v>
      </c>
      <c r="AQ26">
        <v>43</v>
      </c>
      <c r="AR26" t="str" cm="1">
        <f t="array" aca="1" ref="AR26" ca="1">INDIRECT("AN"&amp;AQ26)</f>
        <v>from_unit_unit = "km^3"</v>
      </c>
      <c r="AW26" t="str">
        <f t="shared" ref="AW26:AW33" si="17">"Case "&amp;AQ3&amp;AQ11</f>
        <v>Case "m4","m^4",</v>
      </c>
      <c r="AY26">
        <v>43</v>
      </c>
      <c r="AZ26" t="str" cm="1">
        <f t="array" aca="1" ref="AZ26" ca="1">INDIRECT("AW"&amp;AY26)</f>
        <v>from_unit_unit = "km^2"</v>
      </c>
    </row>
    <row r="27" spans="4:52" x14ac:dyDescent="0.25">
      <c r="S27" t="s">
        <v>83</v>
      </c>
      <c r="T27" t="str">
        <f>"Case "&amp;LEFT(_xlfn.CONCAT(T2:T26),LEN(_xlfn.CONCAT(T2:T26))-1)</f>
        <v>Case "km/s","m/s","cm/s","mm/s","in/s","ft/s","yd/s","mi/s","km/min","m/min","cm/min","mm/min","in/min","ft/min","yd/min","mi/min","km/hr","m/hr","cm/hr","mm/hr","in/hr","ft/hr","yd/hr","mi/hr","mph"</v>
      </c>
      <c r="W27" t="str">
        <f>$T14</f>
        <v>"in/min",</v>
      </c>
      <c r="AC27" t="s">
        <v>187</v>
      </c>
      <c r="AD27" t="str">
        <f>"Case "&amp;LEFT(_xlfn.CONCAT($AB$17:$AB$18),LEN(_xlfn.CONCAT($AB$17:$AB$18))-1)</f>
        <v>Case "C","°C"</v>
      </c>
      <c r="AE27" t="s">
        <v>177</v>
      </c>
      <c r="AJ27" t="str">
        <f>"Case "&amp;AK4&amp;AK12</f>
        <v>Case "cm2","cm^2",</v>
      </c>
      <c r="AK27">
        <f>AK25+1</f>
        <v>35</v>
      </c>
      <c r="AL27" t="str" cm="1">
        <f t="array" aca="1" ref="AL27" ca="1">INDIRECT("AJ"&amp;AK27)</f>
        <v>Case "m2","m^2"</v>
      </c>
      <c r="AN27" t="str">
        <f>"Case "&amp;AN4&amp;AN16</f>
        <v>Case "cm3","cm^3",</v>
      </c>
      <c r="AQ27">
        <f>AQ25+1</f>
        <v>35</v>
      </c>
      <c r="AR27" t="str" cm="1">
        <f t="array" aca="1" ref="AR27" ca="1">INDIRECT("AN"&amp;AQ27)</f>
        <v>Case "m3","m^3"</v>
      </c>
      <c r="AW27" t="str">
        <f t="shared" si="17"/>
        <v>Case "cm4","cm^4",</v>
      </c>
      <c r="AY27">
        <f>AY25+1</f>
        <v>35</v>
      </c>
      <c r="AZ27" t="str" cm="1">
        <f t="array" aca="1" ref="AZ27" ca="1">INDIRECT("AW"&amp;AY27)</f>
        <v>Case "m4","m^4"</v>
      </c>
    </row>
    <row r="28" spans="4:52" x14ac:dyDescent="0.25">
      <c r="W28" t="str">
        <f>$T22</f>
        <v>"in/hr",</v>
      </c>
      <c r="AD28" t="str">
        <f>$AD$13&amp;" = "&amp;""""&amp;AE27&amp;""""</f>
        <v>to_unit_unit = "C"</v>
      </c>
      <c r="AG28" t="s">
        <v>206</v>
      </c>
      <c r="AJ28" t="str">
        <f>"Case "&amp;AK5&amp;AK13</f>
        <v>Case "mm2","mm^2",</v>
      </c>
      <c r="AK28">
        <f>AK26+1</f>
        <v>44</v>
      </c>
      <c r="AL28" t="str" cm="1">
        <f t="array" aca="1" ref="AL28" ca="1">INDIRECT("AJ"&amp;AK28)</f>
        <v>from_unit_unit = "m^2"</v>
      </c>
      <c r="AN28" t="str">
        <f t="shared" ref="AN28:AN31" si="18">"Case "&amp;AN5&amp;AN17</f>
        <v>Case "mm3","mm^3",</v>
      </c>
      <c r="AQ28">
        <f>AQ26+1</f>
        <v>44</v>
      </c>
      <c r="AR28" t="str" cm="1">
        <f t="array" aca="1" ref="AR28" ca="1">INDIRECT("AN"&amp;AQ28)</f>
        <v>from_unit_unit = "m^3"</v>
      </c>
      <c r="AW28" t="str">
        <f t="shared" si="17"/>
        <v>Case "mm4","mm^4",</v>
      </c>
      <c r="AY28">
        <f>AY26+1</f>
        <v>44</v>
      </c>
      <c r="AZ28" t="str" cm="1">
        <f t="array" aca="1" ref="AZ28" ca="1">INDIRECT("AW"&amp;AY28)</f>
        <v>from_unit_unit = "m^2"</v>
      </c>
    </row>
    <row r="29" spans="4:52" x14ac:dyDescent="0.25">
      <c r="S29" t="s">
        <v>158</v>
      </c>
      <c r="T29" t="str">
        <f>"Case "&amp;LEFT(_xlfn.CONCAT(T2:T9),LEN(_xlfn.CONCAT(T2:T9))-1)</f>
        <v>Case "km/s","m/s","cm/s","mm/s","in/s","ft/s","yd/s","mi/s"</v>
      </c>
      <c r="V29" t="s">
        <v>169</v>
      </c>
      <c r="W29" t="str">
        <f>"Case "&amp;LEFT(_xlfn.CONCAT(W26:W28),LEN(_xlfn.CONCAT(W26:W28))-1)</f>
        <v>Case "in/s","in/min","in/hr"</v>
      </c>
      <c r="AC29" t="s">
        <v>188</v>
      </c>
      <c r="AD29" t="str">
        <f>"Case "&amp;LEFT(_xlfn.CONCAT($AB$21),LEN(_xlfn.CONCAT($AB$21))-1)</f>
        <v>Case "K"</v>
      </c>
      <c r="AE29" t="s">
        <v>2</v>
      </c>
      <c r="AG29" t="str">
        <f>AH2</f>
        <v>"psia",</v>
      </c>
      <c r="AJ29" t="str">
        <f>"Case "&amp;AK6&amp;AK14</f>
        <v>Case "in2","in^2",</v>
      </c>
      <c r="AK29">
        <f>AK27+1</f>
        <v>36</v>
      </c>
      <c r="AL29" t="str" cm="1">
        <f t="array" aca="1" ref="AL29" ca="1">INDIRECT("AJ"&amp;AK29)</f>
        <v>Case "cm2","cm^2"</v>
      </c>
      <c r="AN29" t="str">
        <f t="shared" si="18"/>
        <v>Case "in3","in^3",</v>
      </c>
      <c r="AQ29">
        <f>AQ27+1</f>
        <v>36</v>
      </c>
      <c r="AR29" t="str" cm="1">
        <f t="array" aca="1" ref="AR29" ca="1">INDIRECT("AN"&amp;AQ29)</f>
        <v>Case "cm3","cm^3"</v>
      </c>
      <c r="AW29" t="str">
        <f t="shared" si="17"/>
        <v>Case "in4","in^4",</v>
      </c>
      <c r="AY29">
        <f>AY27+1</f>
        <v>36</v>
      </c>
      <c r="AZ29" t="str" cm="1">
        <f t="array" aca="1" ref="AZ29" ca="1">INDIRECT("AW"&amp;AY29)</f>
        <v>Case "cm4","cm^4"</v>
      </c>
    </row>
    <row r="30" spans="4:52" x14ac:dyDescent="0.25">
      <c r="S30" t="s">
        <v>157</v>
      </c>
      <c r="T30" t="str">
        <f>"Case "&amp;LEFT(_xlfn.CONCAT(T10:T17),LEN(_xlfn.CONCAT(T10:T17))-1)</f>
        <v>Case "km/min","m/min","cm/min","mm/min","in/min","ft/min","yd/min","mi/min"</v>
      </c>
      <c r="AD30" t="str">
        <f>$AD$13&amp;" = "&amp;""""&amp;AE29&amp;""""</f>
        <v>to_unit_unit = "K"</v>
      </c>
      <c r="AG30" t="str">
        <f>AH4</f>
        <v>"psid",</v>
      </c>
      <c r="AJ30" t="str">
        <f>"Case "&amp;AK7&amp;AK15</f>
        <v>Case "ft2","ft^2",</v>
      </c>
      <c r="AK30">
        <f>AK28+1</f>
        <v>45</v>
      </c>
      <c r="AL30" t="str" cm="1">
        <f t="array" aca="1" ref="AL30" ca="1">INDIRECT("AJ"&amp;AK30)</f>
        <v>from_unit_unit = "cm^2"</v>
      </c>
      <c r="AN30" t="str">
        <f t="shared" si="18"/>
        <v>Case "ft3","ft^3",</v>
      </c>
      <c r="AQ30">
        <f>AQ28+1</f>
        <v>45</v>
      </c>
      <c r="AR30" t="str" cm="1">
        <f t="array" aca="1" ref="AR30" ca="1">INDIRECT("AN"&amp;AQ30)</f>
        <v>from_unit_unit = "cm^3"</v>
      </c>
      <c r="AW30" t="str">
        <f t="shared" si="17"/>
        <v>Case "ft4","ft^4",</v>
      </c>
      <c r="AY30">
        <f>AY28+1</f>
        <v>45</v>
      </c>
      <c r="AZ30" t="str" cm="1">
        <f t="array" aca="1" ref="AZ30" ca="1">INDIRECT("AW"&amp;AY30)</f>
        <v>from_unit_unit = "cm^2"</v>
      </c>
    </row>
    <row r="31" spans="4:52" x14ac:dyDescent="0.25">
      <c r="S31" t="s">
        <v>159</v>
      </c>
      <c r="T31" t="str">
        <f>"Case "&amp;LEFT(_xlfn.CONCAT(T18:T26),LEN(_xlfn.CONCAT(T18:T26))-1)</f>
        <v>Case "km/hr","m/hr","cm/hr","mm/hr","in/hr","ft/hr","yd/hr","mi/hr","mph"</v>
      </c>
      <c r="W31" t="s">
        <v>170</v>
      </c>
      <c r="AC31" t="s">
        <v>189</v>
      </c>
      <c r="AD31" t="str">
        <f>"Case "&amp;LEFT(_xlfn.CONCAT($AB$24:$AB$26),LEN(_xlfn.CONCAT($AB$24:$AB$26))-1)</f>
        <v>Case "R","Rank","Rankine"</v>
      </c>
      <c r="AE31" t="s">
        <v>180</v>
      </c>
      <c r="AG31" t="str">
        <f>AH5</f>
        <v>"psi",</v>
      </c>
      <c r="AJ31" t="str">
        <f>"Case "&amp;AK8&amp;AK16</f>
        <v>Case "yd2","yd^2",</v>
      </c>
      <c r="AK31">
        <f>AK29+1</f>
        <v>37</v>
      </c>
      <c r="AL31" t="str" cm="1">
        <f t="array" aca="1" ref="AL31" ca="1">INDIRECT("AJ"&amp;AK31)</f>
        <v>Case "mm2","mm^2"</v>
      </c>
      <c r="AN31" t="str">
        <f t="shared" si="18"/>
        <v>Case "yd3","yd^3",</v>
      </c>
      <c r="AQ31">
        <f>AQ29+1</f>
        <v>37</v>
      </c>
      <c r="AR31" t="str" cm="1">
        <f t="array" aca="1" ref="AR31" ca="1">INDIRECT("AN"&amp;AQ31)</f>
        <v>Case "mm3","mm^3"</v>
      </c>
      <c r="AW31" t="str">
        <f t="shared" si="17"/>
        <v>Case "yd4","yd^4",</v>
      </c>
      <c r="AY31">
        <f>AY29+1</f>
        <v>37</v>
      </c>
      <c r="AZ31" t="str" cm="1">
        <f t="array" aca="1" ref="AZ31" ca="1">INDIRECT("AW"&amp;AY31)</f>
        <v>Case "mm4","mm^4"</v>
      </c>
    </row>
    <row r="32" spans="4:52" x14ac:dyDescent="0.25">
      <c r="W32" t="str">
        <f>$T7</f>
        <v>"ft/s",</v>
      </c>
      <c r="AD32" t="str">
        <f>$AD$13&amp;" = "&amp;""""&amp;AE31&amp;""""</f>
        <v>to_unit_unit = "Rank"</v>
      </c>
      <c r="AG32" t="str">
        <f>AH7</f>
        <v>"lbf/in2",</v>
      </c>
      <c r="AJ32" t="str">
        <f>"Case "&amp;AK9&amp;AK17</f>
        <v>Case "mi2","mi^2",</v>
      </c>
      <c r="AK32">
        <f>AK30+1</f>
        <v>46</v>
      </c>
      <c r="AL32" t="str" cm="1">
        <f t="array" aca="1" ref="AL32" ca="1">INDIRECT("AJ"&amp;AK32)</f>
        <v>from_unit_unit = "mm^2"</v>
      </c>
      <c r="AN32" t="str">
        <f>"Case "&amp;AN9&amp;AN21</f>
        <v>Case "mi3","mi^3",</v>
      </c>
      <c r="AQ32">
        <f>AQ30+1</f>
        <v>46</v>
      </c>
      <c r="AR32" t="str" cm="1">
        <f t="array" aca="1" ref="AR32" ca="1">INDIRECT("AN"&amp;AQ32)</f>
        <v>from_unit_unit = "mm^3"</v>
      </c>
      <c r="AW32" t="str">
        <f t="shared" si="17"/>
        <v>Case "mi4","mi^4",</v>
      </c>
      <c r="AY32">
        <f>AY30+1</f>
        <v>46</v>
      </c>
      <c r="AZ32" t="str" cm="1">
        <f t="array" aca="1" ref="AZ32" ca="1">INDIRECT("AW"&amp;AY32)</f>
        <v>from_unit_unit = "mm^2"</v>
      </c>
    </row>
    <row r="33" spans="22:52" x14ac:dyDescent="0.25">
      <c r="W33" t="str">
        <f>$T15</f>
        <v>"ft/min",</v>
      </c>
      <c r="AG33" t="str">
        <f>AH8</f>
        <v>"lb/in2",</v>
      </c>
      <c r="AK33">
        <f>AK31+1</f>
        <v>38</v>
      </c>
      <c r="AL33" t="str" cm="1">
        <f t="array" aca="1" ref="AL33" ca="1">INDIRECT("AJ"&amp;AK33)</f>
        <v>Case "in2","in^2"</v>
      </c>
      <c r="AQ33">
        <f>AQ31+1</f>
        <v>38</v>
      </c>
      <c r="AR33" t="str" cm="1">
        <f t="array" aca="1" ref="AR33" ca="1">INDIRECT("AN"&amp;AQ33)</f>
        <v>Case "in3","in^3"</v>
      </c>
      <c r="AY33">
        <f>AY31+1</f>
        <v>38</v>
      </c>
      <c r="AZ33" t="str" cm="1">
        <f t="array" aca="1" ref="AZ33" ca="1">INDIRECT("AW"&amp;AY33)</f>
        <v>Case "in4","in^4"</v>
      </c>
    </row>
    <row r="34" spans="22:52" x14ac:dyDescent="0.25">
      <c r="W34" t="str">
        <f>$T23</f>
        <v>"ft/hr",</v>
      </c>
      <c r="AG34" t="str">
        <f>"Case "&amp;LEFT(_xlfn.CONCAT(AG29:AG33),LEN(_xlfn.CONCAT(AG29:AG33))-1)</f>
        <v>Case "psia","psid","psi","lbf/in2","lb/in2"</v>
      </c>
      <c r="AJ34" t="str">
        <f>LEFT(_xlfn.CONCAT(AJ25),LEN(_xlfn.CONCAT(AJ25))-1)</f>
        <v>Case "km2","km^2"</v>
      </c>
      <c r="AK34">
        <f>AK32+1</f>
        <v>47</v>
      </c>
      <c r="AL34" t="str" cm="1">
        <f t="array" aca="1" ref="AL34" ca="1">INDIRECT("AJ"&amp;AK34)</f>
        <v>from_unit_unit = "in^2"</v>
      </c>
      <c r="AN34" t="str">
        <f>LEFT(_xlfn.CONCAT(AN25),LEN(_xlfn.CONCAT(AN25))-1)</f>
        <v>Case "km3","km^3"</v>
      </c>
      <c r="AQ34">
        <f>AQ32+1</f>
        <v>47</v>
      </c>
      <c r="AR34" t="str" cm="1">
        <f t="array" aca="1" ref="AR34" ca="1">INDIRECT("AN"&amp;AQ34)</f>
        <v>from_unit_unit = "in^3"</v>
      </c>
      <c r="AW34" t="str">
        <f>LEFT(_xlfn.CONCAT(AW25),LEN(_xlfn.CONCAT(AW25))-1)</f>
        <v>Case "km4","km^4"</v>
      </c>
      <c r="AY34">
        <f>AY32+1</f>
        <v>47</v>
      </c>
      <c r="AZ34" t="str" cm="1">
        <f t="array" aca="1" ref="AZ34" ca="1">INDIRECT("AW"&amp;AY34)</f>
        <v>from_unit_unit = "in^2"</v>
      </c>
    </row>
    <row r="35" spans="22:52" x14ac:dyDescent="0.25">
      <c r="V35" t="s">
        <v>171</v>
      </c>
      <c r="W35" t="str">
        <f>"Case "&amp;LEFT(_xlfn.CONCAT(W32:W34),LEN(_xlfn.CONCAT(W32:W34))-1)</f>
        <v>Case "ft/s","ft/min","ft/hr"</v>
      </c>
      <c r="AJ35" t="str">
        <f t="shared" ref="AJ35:AJ40" si="19">LEFT(_xlfn.CONCAT(AJ26),LEN(_xlfn.CONCAT(AJ26))-1)</f>
        <v>Case "m2","m^2"</v>
      </c>
      <c r="AK35">
        <f>AK33+1</f>
        <v>39</v>
      </c>
      <c r="AL35" t="str" cm="1">
        <f t="array" aca="1" ref="AL35" ca="1">INDIRECT("AJ"&amp;AK35)</f>
        <v>Case "ft2","ft^2"</v>
      </c>
      <c r="AN35" t="str">
        <f>LEFT(_xlfn.CONCAT(AN26),LEN(_xlfn.CONCAT(AN26))-1)</f>
        <v>Case "m3","m^3"</v>
      </c>
      <c r="AQ35">
        <f>AQ33+1</f>
        <v>39</v>
      </c>
      <c r="AR35" t="str" cm="1">
        <f t="array" aca="1" ref="AR35" ca="1">INDIRECT("AN"&amp;AQ35)</f>
        <v>Case "ft3","ft^3"</v>
      </c>
      <c r="AW35" t="str">
        <f t="shared" ref="AW35:AW40" si="20">LEFT(_xlfn.CONCAT(AW26),LEN(_xlfn.CONCAT(AW26))-1)</f>
        <v>Case "m4","m^4"</v>
      </c>
      <c r="AY35">
        <f>AY33+1</f>
        <v>39</v>
      </c>
      <c r="AZ35" t="str" cm="1">
        <f t="array" aca="1" ref="AZ35" ca="1">INDIRECT("AW"&amp;AY35)</f>
        <v>Case "ft4","ft^4"</v>
      </c>
    </row>
    <row r="36" spans="22:52" x14ac:dyDescent="0.25">
      <c r="AJ36" t="str">
        <f t="shared" si="19"/>
        <v>Case "cm2","cm^2"</v>
      </c>
      <c r="AK36">
        <f>AK34+1</f>
        <v>48</v>
      </c>
      <c r="AL36" t="str" cm="1">
        <f t="array" aca="1" ref="AL36" ca="1">INDIRECT("AJ"&amp;AK36)</f>
        <v>from_unit_unit = "ft^2"</v>
      </c>
      <c r="AN36" t="str">
        <f>LEFT(_xlfn.CONCAT(AN27),LEN(_xlfn.CONCAT(AN27))-1)</f>
        <v>Case "cm3","cm^3"</v>
      </c>
      <c r="AQ36">
        <f>AQ34+1</f>
        <v>48</v>
      </c>
      <c r="AR36" t="str" cm="1">
        <f t="array" aca="1" ref="AR36" ca="1">INDIRECT("AN"&amp;AQ36)</f>
        <v>from_unit_unit = "ft^3"</v>
      </c>
      <c r="AW36" t="str">
        <f t="shared" si="20"/>
        <v>Case "cm4","cm^4"</v>
      </c>
      <c r="AY36">
        <f>AY34+1</f>
        <v>48</v>
      </c>
      <c r="AZ36" t="str" cm="1">
        <f t="array" aca="1" ref="AZ36" ca="1">INDIRECT("AW"&amp;AY36)</f>
        <v>from_unit_unit = "ft^2"</v>
      </c>
    </row>
    <row r="37" spans="22:52" x14ac:dyDescent="0.25">
      <c r="AJ37" t="str">
        <f t="shared" si="19"/>
        <v>Case "mm2","mm^2"</v>
      </c>
      <c r="AK37">
        <f>AK35+1</f>
        <v>40</v>
      </c>
      <c r="AL37" t="str" cm="1">
        <f t="array" aca="1" ref="AL37" ca="1">INDIRECT("AJ"&amp;AK37)</f>
        <v>Case "yd2","yd^2"</v>
      </c>
      <c r="AN37" t="str">
        <f>LEFT(_xlfn.CONCAT(AN28),LEN(_xlfn.CONCAT(AN28))-1)</f>
        <v>Case "mm3","mm^3"</v>
      </c>
      <c r="AQ37">
        <f>AQ35+1</f>
        <v>40</v>
      </c>
      <c r="AR37" t="str" cm="1">
        <f t="array" aca="1" ref="AR37" ca="1">INDIRECT("AN"&amp;AQ37)</f>
        <v>Case "yd3","yd^3"</v>
      </c>
      <c r="AW37" t="str">
        <f t="shared" si="20"/>
        <v>Case "mm4","mm^4"</v>
      </c>
      <c r="AY37">
        <f>AY35+1</f>
        <v>40</v>
      </c>
      <c r="AZ37" t="str" cm="1">
        <f t="array" aca="1" ref="AZ37" ca="1">INDIRECT("AW"&amp;AY37)</f>
        <v>Case "yd4","yd^4"</v>
      </c>
    </row>
    <row r="38" spans="22:52" x14ac:dyDescent="0.25">
      <c r="W38" t="str">
        <f>$T8</f>
        <v>"yd/s",</v>
      </c>
      <c r="AJ38" t="str">
        <f t="shared" si="19"/>
        <v>Case "in2","in^2"</v>
      </c>
      <c r="AK38">
        <f>AK36+1</f>
        <v>49</v>
      </c>
      <c r="AL38" t="str" cm="1">
        <f t="array" aca="1" ref="AL38" ca="1">INDIRECT("AJ"&amp;AK38)</f>
        <v>from_unit_unit = "yd^2"</v>
      </c>
      <c r="AN38" t="str">
        <f>LEFT(_xlfn.CONCAT(AN29),LEN(_xlfn.CONCAT(AN29))-1)</f>
        <v>Case "in3","in^3"</v>
      </c>
      <c r="AQ38">
        <f>AQ36+1</f>
        <v>49</v>
      </c>
      <c r="AR38" t="str" cm="1">
        <f t="array" aca="1" ref="AR38" ca="1">INDIRECT("AN"&amp;AQ38)</f>
        <v>from_unit_unit = "yd^3"</v>
      </c>
      <c r="AW38" t="str">
        <f t="shared" si="20"/>
        <v>Case "in4","in^4"</v>
      </c>
      <c r="AY38">
        <f>AY36+1</f>
        <v>49</v>
      </c>
      <c r="AZ38" t="str" cm="1">
        <f t="array" aca="1" ref="AZ38" ca="1">INDIRECT("AW"&amp;AY38)</f>
        <v>from_unit_unit = "yd^2"</v>
      </c>
    </row>
    <row r="39" spans="22:52" x14ac:dyDescent="0.25">
      <c r="W39" t="str">
        <f>$T16</f>
        <v>"yd/min",</v>
      </c>
      <c r="AJ39" t="str">
        <f t="shared" si="19"/>
        <v>Case "ft2","ft^2"</v>
      </c>
      <c r="AK39">
        <f>AK37+1</f>
        <v>41</v>
      </c>
      <c r="AL39" t="str" cm="1">
        <f t="array" aca="1" ref="AL39" ca="1">INDIRECT("AJ"&amp;AK39)</f>
        <v>Case "mi2","mi^2"</v>
      </c>
      <c r="AN39" t="str">
        <f>LEFT(_xlfn.CONCAT(AN30),LEN(_xlfn.CONCAT(AN30))-1)</f>
        <v>Case "ft3","ft^3"</v>
      </c>
      <c r="AQ39">
        <f>AQ37+1</f>
        <v>41</v>
      </c>
      <c r="AR39" t="str" cm="1">
        <f t="array" aca="1" ref="AR39" ca="1">INDIRECT("AN"&amp;AQ39)</f>
        <v>Case "mi3","mi^3"</v>
      </c>
      <c r="AW39" t="str">
        <f t="shared" si="20"/>
        <v>Case "ft4","ft^4"</v>
      </c>
      <c r="AY39">
        <f>AY37+1</f>
        <v>41</v>
      </c>
      <c r="AZ39" t="str" cm="1">
        <f t="array" aca="1" ref="AZ39" ca="1">INDIRECT("AW"&amp;AY39)</f>
        <v>Case "mi4","mi^4"</v>
      </c>
    </row>
    <row r="40" spans="22:52" x14ac:dyDescent="0.25">
      <c r="W40" t="str">
        <f>$T24</f>
        <v>"yd/hr",</v>
      </c>
      <c r="AJ40" t="str">
        <f t="shared" si="19"/>
        <v>Case "yd2","yd^2"</v>
      </c>
      <c r="AK40">
        <f>AK38+1</f>
        <v>50</v>
      </c>
      <c r="AL40" t="str" cm="1">
        <f t="array" aca="1" ref="AL40" ca="1">INDIRECT("AJ"&amp;AK40)</f>
        <v>from_unit_unit = "mi^2"</v>
      </c>
      <c r="AN40" t="str">
        <f>LEFT(_xlfn.CONCAT(AN31),LEN(_xlfn.CONCAT(AN31))-1)</f>
        <v>Case "yd3","yd^3"</v>
      </c>
      <c r="AQ40">
        <f>AQ38+1</f>
        <v>50</v>
      </c>
      <c r="AR40" t="str" cm="1">
        <f t="array" aca="1" ref="AR40" ca="1">INDIRECT("AN"&amp;AQ40)</f>
        <v>from_unit_unit = "mi^3"</v>
      </c>
      <c r="AW40" t="str">
        <f t="shared" si="20"/>
        <v>Case "yd4","yd^4"</v>
      </c>
      <c r="AY40">
        <f>AY38+1</f>
        <v>50</v>
      </c>
      <c r="AZ40" t="str" cm="1">
        <f t="array" aca="1" ref="AZ40" ca="1">INDIRECT("AW"&amp;AY40)</f>
        <v>from_unit_unit = "mi^2"</v>
      </c>
    </row>
    <row r="41" spans="22:52" x14ac:dyDescent="0.25">
      <c r="V41" t="s">
        <v>172</v>
      </c>
      <c r="W41" t="str">
        <f>"Case "&amp;LEFT(_xlfn.CONCAT(W38:W40),LEN(_xlfn.CONCAT(W38:W40))-1)</f>
        <v>Case "yd/s","yd/min","yd/hr"</v>
      </c>
      <c r="AJ41" t="str">
        <f>LEFT(_xlfn.CONCAT(AJ32),LEN(_xlfn.CONCAT(AJ32))-1)</f>
        <v>Case "mi2","mi^2"</v>
      </c>
      <c r="AN41" t="str">
        <f>LEFT(_xlfn.CONCAT(AN32),LEN(_xlfn.CONCAT(AN32))-1)</f>
        <v>Case "mi3","mi^3"</v>
      </c>
      <c r="AW41" t="str">
        <f>LEFT(_xlfn.CONCAT(AW32),LEN(_xlfn.CONCAT(AW32))-1)</f>
        <v>Case "mi4","mi^4"</v>
      </c>
    </row>
    <row r="42" spans="22:52" x14ac:dyDescent="0.25">
      <c r="AK42">
        <v>34</v>
      </c>
      <c r="AL42" t="str" cm="1">
        <f t="array" aca="1" ref="AL42" ca="1">INDIRECT("AJ"&amp;AK42)</f>
        <v>Case "km2","km^2"</v>
      </c>
      <c r="AQ42">
        <v>34</v>
      </c>
      <c r="AR42" t="str" cm="1">
        <f t="array" aca="1" ref="AR42" ca="1">INDIRECT("AN"&amp;AQ42)</f>
        <v>Case "km3","km^3"</v>
      </c>
    </row>
    <row r="43" spans="22:52" x14ac:dyDescent="0.25">
      <c r="W43" t="str">
        <f>$T9</f>
        <v>"mi/s",</v>
      </c>
      <c r="AJ43" t="str">
        <f>"from_unit_unit = """&amp;AJ10&amp;""""</f>
        <v>from_unit_unit = "km^2"</v>
      </c>
      <c r="AK43">
        <v>52</v>
      </c>
      <c r="AL43" t="str" cm="1">
        <f t="array" aca="1" ref="AL43" ca="1">INDIRECT("AJ"&amp;AK43)</f>
        <v>to_unit_unit = "km^2"</v>
      </c>
      <c r="AN43" t="str">
        <f>"from_unit_unit = """&amp;AM14&amp;""""</f>
        <v>from_unit_unit = "km^3"</v>
      </c>
      <c r="AQ43">
        <v>52</v>
      </c>
      <c r="AR43" t="str" cm="1">
        <f t="array" aca="1" ref="AR43" ca="1">INDIRECT("AN"&amp;AQ43)</f>
        <v>to_unit_unit = "km^3"</v>
      </c>
      <c r="AW43" t="str">
        <f>"from_unit_unit = """&amp;AS10&amp;""""</f>
        <v>from_unit_unit = "km^2"</v>
      </c>
      <c r="AY43">
        <v>34</v>
      </c>
      <c r="AZ43" t="str" cm="1">
        <f t="array" aca="1" ref="AZ43" ca="1">INDIRECT("AW"&amp;AY43)</f>
        <v>Case "km4","km^4"</v>
      </c>
    </row>
    <row r="44" spans="22:52" x14ac:dyDescent="0.25">
      <c r="W44" t="str">
        <f>$T17</f>
        <v>"mi/min",</v>
      </c>
      <c r="AJ44" t="str">
        <f>"from_unit_unit = """&amp;AJ11&amp;""""</f>
        <v>from_unit_unit = "m^2"</v>
      </c>
      <c r="AK44">
        <f>AK42+1</f>
        <v>35</v>
      </c>
      <c r="AL44" t="str" cm="1">
        <f t="array" aca="1" ref="AL44" ca="1">INDIRECT("AJ"&amp;AK44)</f>
        <v>Case "m2","m^2"</v>
      </c>
      <c r="AN44" t="str">
        <f t="shared" ref="AN44:AN50" si="21">"from_unit_unit = """&amp;AM15&amp;""""</f>
        <v>from_unit_unit = "m^3"</v>
      </c>
      <c r="AQ44">
        <f>AQ42+1</f>
        <v>35</v>
      </c>
      <c r="AR44" t="str" cm="1">
        <f t="array" aca="1" ref="AR44" ca="1">INDIRECT("AN"&amp;AQ44)</f>
        <v>Case "m3","m^3"</v>
      </c>
      <c r="AW44" t="str">
        <f t="shared" ref="AW44:AW47" si="22">"from_unit_unit = """&amp;AS11&amp;""""</f>
        <v>from_unit_unit = "m^2"</v>
      </c>
      <c r="AY44">
        <v>52</v>
      </c>
      <c r="AZ44" t="str" cm="1">
        <f t="array" aca="1" ref="AZ44" ca="1">INDIRECT("AW"&amp;AY44)</f>
        <v>to_unit_unit = "km^2"</v>
      </c>
    </row>
    <row r="45" spans="22:52" x14ac:dyDescent="0.25">
      <c r="W45" t="str">
        <f>$T25</f>
        <v>"mi/hr",</v>
      </c>
      <c r="AJ45" t="str">
        <f>"from_unit_unit = """&amp;AJ12&amp;""""</f>
        <v>from_unit_unit = "cm^2"</v>
      </c>
      <c r="AK45">
        <f>AK43+1</f>
        <v>53</v>
      </c>
      <c r="AL45" t="str" cm="1">
        <f t="array" aca="1" ref="AL45" ca="1">INDIRECT("AJ"&amp;AK45)</f>
        <v>to_unit_unit = "m^2"</v>
      </c>
      <c r="AN45" t="str">
        <f t="shared" si="21"/>
        <v>from_unit_unit = "cm^3"</v>
      </c>
      <c r="AQ45">
        <f>AQ43+1</f>
        <v>53</v>
      </c>
      <c r="AR45" t="str" cm="1">
        <f t="array" aca="1" ref="AR45" ca="1">INDIRECT("AN"&amp;AQ45)</f>
        <v>to_unit_unit = "m^3"</v>
      </c>
      <c r="AW45" t="str">
        <f t="shared" si="22"/>
        <v>from_unit_unit = "cm^2"</v>
      </c>
      <c r="AY45">
        <f>AY43+1</f>
        <v>35</v>
      </c>
      <c r="AZ45" t="str" cm="1">
        <f t="array" aca="1" ref="AZ45" ca="1">INDIRECT("AW"&amp;AY45)</f>
        <v>Case "m4","m^4"</v>
      </c>
    </row>
    <row r="46" spans="22:52" x14ac:dyDescent="0.25">
      <c r="W46" t="str">
        <f>$T26</f>
        <v>"mph",</v>
      </c>
      <c r="AJ46" t="str">
        <f>"from_unit_unit = """&amp;AJ13&amp;""""</f>
        <v>from_unit_unit = "mm^2"</v>
      </c>
      <c r="AK46">
        <f>AK44+1</f>
        <v>36</v>
      </c>
      <c r="AL46" t="str" cm="1">
        <f t="array" aca="1" ref="AL46" ca="1">INDIRECT("AJ"&amp;AK46)</f>
        <v>Case "cm2","cm^2"</v>
      </c>
      <c r="AN46" t="str">
        <f t="shared" si="21"/>
        <v>from_unit_unit = "mm^3"</v>
      </c>
      <c r="AQ46">
        <f>AQ44+1</f>
        <v>36</v>
      </c>
      <c r="AR46" t="str" cm="1">
        <f t="array" aca="1" ref="AR46" ca="1">INDIRECT("AN"&amp;AQ46)</f>
        <v>Case "cm3","cm^3"</v>
      </c>
      <c r="AW46" t="str">
        <f t="shared" si="22"/>
        <v>from_unit_unit = "mm^2"</v>
      </c>
      <c r="AY46">
        <f>AY44+1</f>
        <v>53</v>
      </c>
      <c r="AZ46" t="str" cm="1">
        <f t="array" aca="1" ref="AZ46" ca="1">INDIRECT("AW"&amp;AY46)</f>
        <v>to_unit_unit = "m^2"</v>
      </c>
    </row>
    <row r="47" spans="22:52" x14ac:dyDescent="0.25">
      <c r="V47" t="s">
        <v>173</v>
      </c>
      <c r="W47" t="str">
        <f>"Case "&amp;LEFT(_xlfn.CONCAT(W43:W46),LEN(_xlfn.CONCAT(W43:W46))-1)</f>
        <v>Case "mi/s","mi/min","mi/hr","mph"</v>
      </c>
      <c r="AJ47" t="str">
        <f>"from_unit_unit = """&amp;AJ14&amp;""""</f>
        <v>from_unit_unit = "in^2"</v>
      </c>
      <c r="AK47">
        <f>AK45+1</f>
        <v>54</v>
      </c>
      <c r="AL47" t="str" cm="1">
        <f t="array" aca="1" ref="AL47" ca="1">INDIRECT("AJ"&amp;AK47)</f>
        <v>to_unit_unit = "cm^2"</v>
      </c>
      <c r="AN47" t="str">
        <f t="shared" si="21"/>
        <v>from_unit_unit = "in^3"</v>
      </c>
      <c r="AQ47">
        <f>AQ45+1</f>
        <v>54</v>
      </c>
      <c r="AR47" t="str" cm="1">
        <f t="array" aca="1" ref="AR47" ca="1">INDIRECT("AN"&amp;AQ47)</f>
        <v>to_unit_unit = "cm^3"</v>
      </c>
      <c r="AW47" t="str">
        <f t="shared" si="22"/>
        <v>from_unit_unit = "in^2"</v>
      </c>
      <c r="AY47">
        <f>AY45+1</f>
        <v>36</v>
      </c>
      <c r="AZ47" t="str" cm="1">
        <f t="array" aca="1" ref="AZ47" ca="1">INDIRECT("AW"&amp;AY47)</f>
        <v>Case "cm4","cm^4"</v>
      </c>
    </row>
    <row r="48" spans="22:52" x14ac:dyDescent="0.25">
      <c r="AJ48" t="str">
        <f>"from_unit_unit = """&amp;AJ15&amp;""""</f>
        <v>from_unit_unit = "ft^2"</v>
      </c>
      <c r="AK48">
        <f>AK46+1</f>
        <v>37</v>
      </c>
      <c r="AL48" t="str" cm="1">
        <f t="array" aca="1" ref="AL48" ca="1">INDIRECT("AJ"&amp;AK48)</f>
        <v>Case "mm2","mm^2"</v>
      </c>
      <c r="AN48" t="str">
        <f t="shared" si="21"/>
        <v>from_unit_unit = "ft^3"</v>
      </c>
      <c r="AQ48">
        <f>AQ46+1</f>
        <v>37</v>
      </c>
      <c r="AR48" t="str" cm="1">
        <f t="array" aca="1" ref="AR48" ca="1">INDIRECT("AN"&amp;AQ48)</f>
        <v>Case "mm3","mm^3"</v>
      </c>
      <c r="AW48" t="str">
        <f>"from_unit_unit = """&amp;AS15&amp;""""</f>
        <v>from_unit_unit = "ft^2"</v>
      </c>
      <c r="AY48">
        <f>AY46+1</f>
        <v>54</v>
      </c>
      <c r="AZ48" t="str" cm="1">
        <f t="array" aca="1" ref="AZ48" ca="1">INDIRECT("AW"&amp;AY48)</f>
        <v>to_unit_unit = "cm^2"</v>
      </c>
    </row>
    <row r="49" spans="36:52" x14ac:dyDescent="0.25">
      <c r="AJ49" t="str">
        <f>"from_unit_unit = """&amp;AJ16&amp;""""</f>
        <v>from_unit_unit = "yd^2"</v>
      </c>
      <c r="AK49">
        <f>AK47+1</f>
        <v>55</v>
      </c>
      <c r="AL49" t="str" cm="1">
        <f t="array" aca="1" ref="AL49" ca="1">INDIRECT("AJ"&amp;AK49)</f>
        <v>to_unit_unit = "mm^2"</v>
      </c>
      <c r="AN49" t="str">
        <f t="shared" si="21"/>
        <v>from_unit_unit = "yd^3"</v>
      </c>
      <c r="AQ49">
        <f>AQ47+1</f>
        <v>55</v>
      </c>
      <c r="AR49" t="str" cm="1">
        <f t="array" aca="1" ref="AR49" ca="1">INDIRECT("AN"&amp;AQ49)</f>
        <v>to_unit_unit = "mm^3"</v>
      </c>
      <c r="AW49" t="str">
        <f>"from_unit_unit = """&amp;AS16&amp;""""</f>
        <v>from_unit_unit = "yd^2"</v>
      </c>
      <c r="AY49">
        <f>AY47+1</f>
        <v>37</v>
      </c>
      <c r="AZ49" t="str" cm="1">
        <f t="array" aca="1" ref="AZ49" ca="1">INDIRECT("AW"&amp;AY49)</f>
        <v>Case "mm4","mm^4"</v>
      </c>
    </row>
    <row r="50" spans="36:52" x14ac:dyDescent="0.25">
      <c r="AJ50" t="str">
        <f>"from_unit_unit = """&amp;AJ17&amp;""""</f>
        <v>from_unit_unit = "mi^2"</v>
      </c>
      <c r="AK50">
        <f>AK48+1</f>
        <v>38</v>
      </c>
      <c r="AL50" t="str" cm="1">
        <f t="array" aca="1" ref="AL50" ca="1">INDIRECT("AJ"&amp;AK50)</f>
        <v>Case "in2","in^2"</v>
      </c>
      <c r="AN50" t="str">
        <f t="shared" si="21"/>
        <v>from_unit_unit = "mi^3"</v>
      </c>
      <c r="AQ50">
        <f>AQ48+1</f>
        <v>38</v>
      </c>
      <c r="AR50" t="str" cm="1">
        <f t="array" aca="1" ref="AR50" ca="1">INDIRECT("AN"&amp;AQ50)</f>
        <v>Case "in3","in^3"</v>
      </c>
      <c r="AW50" t="str">
        <f>"from_unit_unit = """&amp;AS17&amp;""""</f>
        <v>from_unit_unit = "mi^2"</v>
      </c>
      <c r="AY50">
        <f>AY48+1</f>
        <v>55</v>
      </c>
      <c r="AZ50" t="str" cm="1">
        <f t="array" aca="1" ref="AZ50" ca="1">INDIRECT("AW"&amp;AY50)</f>
        <v>to_unit_unit = "mm^2"</v>
      </c>
    </row>
    <row r="51" spans="36:52" x14ac:dyDescent="0.25">
      <c r="AK51">
        <f>AK49+1</f>
        <v>56</v>
      </c>
      <c r="AL51" t="str" cm="1">
        <f t="array" aca="1" ref="AL51" ca="1">INDIRECT("AJ"&amp;AK51)</f>
        <v>to_unit_unit = "in^2"</v>
      </c>
      <c r="AQ51">
        <f>AQ49+1</f>
        <v>56</v>
      </c>
      <c r="AR51" t="str" cm="1">
        <f t="array" aca="1" ref="AR51" ca="1">INDIRECT("AN"&amp;AQ51)</f>
        <v>to_unit_unit = "in^3"</v>
      </c>
      <c r="AY51">
        <f>AY49+1</f>
        <v>38</v>
      </c>
      <c r="AZ51" t="str" cm="1">
        <f t="array" aca="1" ref="AZ51" ca="1">INDIRECT("AW"&amp;AY51)</f>
        <v>Case "in4","in^4"</v>
      </c>
    </row>
    <row r="52" spans="36:52" x14ac:dyDescent="0.25">
      <c r="AJ52" t="str">
        <f>"to_unit_unit = """&amp;AJ10&amp;""""</f>
        <v>to_unit_unit = "km^2"</v>
      </c>
      <c r="AK52">
        <f>AK50+1</f>
        <v>39</v>
      </c>
      <c r="AL52" t="str" cm="1">
        <f t="array" aca="1" ref="AL52" ca="1">INDIRECT("AJ"&amp;AK52)</f>
        <v>Case "ft2","ft^2"</v>
      </c>
      <c r="AN52" t="str">
        <f>"to_unit_unit = """&amp;AM14&amp;""""</f>
        <v>to_unit_unit = "km^3"</v>
      </c>
      <c r="AQ52">
        <f>AQ50+1</f>
        <v>39</v>
      </c>
      <c r="AR52" t="str" cm="1">
        <f t="array" aca="1" ref="AR52" ca="1">INDIRECT("AN"&amp;AQ52)</f>
        <v>Case "ft3","ft^3"</v>
      </c>
      <c r="AW52" t="str">
        <f>"to_unit_unit = """&amp;AS10&amp;""""</f>
        <v>to_unit_unit = "km^2"</v>
      </c>
      <c r="AY52">
        <f>AY50+1</f>
        <v>56</v>
      </c>
      <c r="AZ52" t="str" cm="1">
        <f t="array" aca="1" ref="AZ52" ca="1">INDIRECT("AW"&amp;AY52)</f>
        <v>to_unit_unit = "in^2"</v>
      </c>
    </row>
    <row r="53" spans="36:52" x14ac:dyDescent="0.25">
      <c r="AJ53" t="str">
        <f t="shared" ref="AJ53:AJ59" si="23">"to_unit_unit = """&amp;AJ11&amp;""""</f>
        <v>to_unit_unit = "m^2"</v>
      </c>
      <c r="AK53">
        <f>AK51+1</f>
        <v>57</v>
      </c>
      <c r="AL53" t="str" cm="1">
        <f t="array" aca="1" ref="AL53" ca="1">INDIRECT("AJ"&amp;AK53)</f>
        <v>to_unit_unit = "ft^2"</v>
      </c>
      <c r="AN53" t="str">
        <f>"to_unit_unit = """&amp;AM15&amp;""""</f>
        <v>to_unit_unit = "m^3"</v>
      </c>
      <c r="AQ53">
        <f>AQ51+1</f>
        <v>57</v>
      </c>
      <c r="AR53" t="str" cm="1">
        <f t="array" aca="1" ref="AR53" ca="1">INDIRECT("AN"&amp;AQ53)</f>
        <v>to_unit_unit = "ft^3"</v>
      </c>
      <c r="AW53" t="str">
        <f t="shared" ref="AW53:AW59" si="24">"to_unit_unit = """&amp;AS11&amp;""""</f>
        <v>to_unit_unit = "m^2"</v>
      </c>
      <c r="AY53">
        <f>AY51+1</f>
        <v>39</v>
      </c>
      <c r="AZ53" t="str" cm="1">
        <f t="array" aca="1" ref="AZ53" ca="1">INDIRECT("AW"&amp;AY53)</f>
        <v>Case "ft4","ft^4"</v>
      </c>
    </row>
    <row r="54" spans="36:52" x14ac:dyDescent="0.25">
      <c r="AJ54" t="str">
        <f t="shared" si="23"/>
        <v>to_unit_unit = "cm^2"</v>
      </c>
      <c r="AK54">
        <f>AK52+1</f>
        <v>40</v>
      </c>
      <c r="AL54" t="str" cm="1">
        <f t="array" aca="1" ref="AL54" ca="1">INDIRECT("AJ"&amp;AK54)</f>
        <v>Case "yd2","yd^2"</v>
      </c>
      <c r="AN54" t="str">
        <f>"to_unit_unit = """&amp;AM16&amp;""""</f>
        <v>to_unit_unit = "cm^3"</v>
      </c>
      <c r="AQ54">
        <f>AQ52+1</f>
        <v>40</v>
      </c>
      <c r="AR54" t="str" cm="1">
        <f t="array" aca="1" ref="AR54" ca="1">INDIRECT("AN"&amp;AQ54)</f>
        <v>Case "yd3","yd^3"</v>
      </c>
      <c r="AW54" t="str">
        <f t="shared" si="24"/>
        <v>to_unit_unit = "cm^2"</v>
      </c>
      <c r="AY54">
        <f>AY52+1</f>
        <v>57</v>
      </c>
      <c r="AZ54" t="str" cm="1">
        <f t="array" aca="1" ref="AZ54" ca="1">INDIRECT("AW"&amp;AY54)</f>
        <v>to_unit_unit = "ft^2"</v>
      </c>
    </row>
    <row r="55" spans="36:52" x14ac:dyDescent="0.25">
      <c r="AJ55" t="str">
        <f t="shared" si="23"/>
        <v>to_unit_unit = "mm^2"</v>
      </c>
      <c r="AK55">
        <f>AK53+1</f>
        <v>58</v>
      </c>
      <c r="AL55" t="str" cm="1">
        <f t="array" aca="1" ref="AL55" ca="1">INDIRECT("AJ"&amp;AK55)</f>
        <v>to_unit_unit = "yd^2"</v>
      </c>
      <c r="AN55" t="str">
        <f>"to_unit_unit = """&amp;AM17&amp;""""</f>
        <v>to_unit_unit = "mm^3"</v>
      </c>
      <c r="AQ55">
        <f>AQ53+1</f>
        <v>58</v>
      </c>
      <c r="AR55" t="str" cm="1">
        <f t="array" aca="1" ref="AR55" ca="1">INDIRECT("AN"&amp;AQ55)</f>
        <v>to_unit_unit = "yd^3"</v>
      </c>
      <c r="AW55" t="str">
        <f t="shared" si="24"/>
        <v>to_unit_unit = "mm^2"</v>
      </c>
      <c r="AY55">
        <f>AY53+1</f>
        <v>40</v>
      </c>
      <c r="AZ55" t="str" cm="1">
        <f t="array" aca="1" ref="AZ55" ca="1">INDIRECT("AW"&amp;AY55)</f>
        <v>Case "yd4","yd^4"</v>
      </c>
    </row>
    <row r="56" spans="36:52" x14ac:dyDescent="0.25">
      <c r="AJ56" t="str">
        <f t="shared" si="23"/>
        <v>to_unit_unit = "in^2"</v>
      </c>
      <c r="AK56">
        <f>AK54+1</f>
        <v>41</v>
      </c>
      <c r="AL56" t="str" cm="1">
        <f t="array" aca="1" ref="AL56" ca="1">INDIRECT("AJ"&amp;AK56)</f>
        <v>Case "mi2","mi^2"</v>
      </c>
      <c r="AN56" t="str">
        <f>"to_unit_unit = """&amp;AM18&amp;""""</f>
        <v>to_unit_unit = "in^3"</v>
      </c>
      <c r="AQ56">
        <f>AQ54+1</f>
        <v>41</v>
      </c>
      <c r="AR56" t="str" cm="1">
        <f t="array" aca="1" ref="AR56" ca="1">INDIRECT("AN"&amp;AQ56)</f>
        <v>Case "mi3","mi^3"</v>
      </c>
      <c r="AW56" t="str">
        <f t="shared" si="24"/>
        <v>to_unit_unit = "in^2"</v>
      </c>
      <c r="AY56">
        <f>AY54+1</f>
        <v>58</v>
      </c>
      <c r="AZ56" t="str" cm="1">
        <f t="array" aca="1" ref="AZ56" ca="1">INDIRECT("AW"&amp;AY56)</f>
        <v>to_unit_unit = "yd^2"</v>
      </c>
    </row>
    <row r="57" spans="36:52" x14ac:dyDescent="0.25">
      <c r="AJ57" t="str">
        <f t="shared" si="23"/>
        <v>to_unit_unit = "ft^2"</v>
      </c>
      <c r="AK57">
        <f>AK55+1</f>
        <v>59</v>
      </c>
      <c r="AL57" t="str" cm="1">
        <f t="array" aca="1" ref="AL57" ca="1">INDIRECT("AJ"&amp;AK57)</f>
        <v>to_unit_unit = "mi^2"</v>
      </c>
      <c r="AN57" t="str">
        <f>"to_unit_unit = """&amp;AM19&amp;""""</f>
        <v>to_unit_unit = "ft^3"</v>
      </c>
      <c r="AQ57">
        <f>AQ55+1</f>
        <v>59</v>
      </c>
      <c r="AR57" t="str" cm="1">
        <f t="array" aca="1" ref="AR57" ca="1">INDIRECT("AN"&amp;AQ57)</f>
        <v>to_unit_unit = "mi^3"</v>
      </c>
      <c r="AW57" t="str">
        <f t="shared" si="24"/>
        <v>to_unit_unit = "ft^2"</v>
      </c>
      <c r="AY57">
        <f>AY55+1</f>
        <v>41</v>
      </c>
      <c r="AZ57" t="str" cm="1">
        <f t="array" aca="1" ref="AZ57" ca="1">INDIRECT("AW"&amp;AY57)</f>
        <v>Case "mi4","mi^4"</v>
      </c>
    </row>
    <row r="58" spans="36:52" x14ac:dyDescent="0.25">
      <c r="AJ58" t="str">
        <f t="shared" si="23"/>
        <v>to_unit_unit = "yd^2"</v>
      </c>
      <c r="AN58" t="str">
        <f>"to_unit_unit = """&amp;AM20&amp;""""</f>
        <v>to_unit_unit = "yd^3"</v>
      </c>
      <c r="AW58" t="str">
        <f t="shared" si="24"/>
        <v>to_unit_unit = "yd^2"</v>
      </c>
      <c r="AY58">
        <f>AY56+1</f>
        <v>59</v>
      </c>
      <c r="AZ58" t="str" cm="1">
        <f t="array" aca="1" ref="AZ58" ca="1">INDIRECT("AW"&amp;AY58)</f>
        <v>to_unit_unit = "mi^2"</v>
      </c>
    </row>
    <row r="59" spans="36:52" x14ac:dyDescent="0.25">
      <c r="AJ59" t="str">
        <f t="shared" si="23"/>
        <v>to_unit_unit = "mi^2"</v>
      </c>
      <c r="AN59" t="str">
        <f>"to_unit_unit = """&amp;AM21&amp;""""</f>
        <v>to_unit_unit = "mi^3"</v>
      </c>
      <c r="AW59" t="str">
        <f t="shared" si="24"/>
        <v>to_unit_unit = "mi^2"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834FA-8531-45BD-A585-D4F48305A3EE}">
  <sheetPr codeName="Sheet3"/>
  <dimension ref="A1:E12"/>
  <sheetViews>
    <sheetView workbookViewId="0">
      <selection activeCell="I9" sqref="I9"/>
    </sheetView>
  </sheetViews>
  <sheetFormatPr defaultRowHeight="15" x14ac:dyDescent="0.25"/>
  <cols>
    <col min="1" max="1" width="32" bestFit="1" customWidth="1"/>
    <col min="7" max="7" width="42.85546875" bestFit="1" customWidth="1"/>
    <col min="11" max="11" width="20.7109375" bestFit="1" customWidth="1"/>
    <col min="12" max="12" width="12.28515625" bestFit="1" customWidth="1"/>
    <col min="14" max="14" width="31.5703125" bestFit="1" customWidth="1"/>
  </cols>
  <sheetData>
    <row r="1" spans="1:5" x14ac:dyDescent="0.25">
      <c r="A1" t="s">
        <v>280</v>
      </c>
    </row>
    <row r="2" spans="1:5" x14ac:dyDescent="0.25">
      <c r="A2" t="s">
        <v>215</v>
      </c>
      <c r="B2">
        <v>5.0000000000000001E-3</v>
      </c>
      <c r="C2" t="s">
        <v>101</v>
      </c>
      <c r="D2" s="4" cm="1">
        <f t="array" ref="D2">fluidConvert(B2,C2,E2)</f>
        <v>1.27E-4</v>
      </c>
      <c r="E2" t="s">
        <v>97</v>
      </c>
    </row>
    <row r="3" spans="1:5" x14ac:dyDescent="0.25">
      <c r="A3" t="s">
        <v>216</v>
      </c>
      <c r="B3">
        <v>0.6</v>
      </c>
      <c r="C3" t="s">
        <v>220</v>
      </c>
    </row>
    <row r="4" spans="1:5" x14ac:dyDescent="0.25">
      <c r="A4" t="s">
        <v>214</v>
      </c>
      <c r="B4" t="s">
        <v>210</v>
      </c>
      <c r="C4" t="s">
        <v>45</v>
      </c>
    </row>
    <row r="5" spans="1:5" x14ac:dyDescent="0.25">
      <c r="A5" t="s">
        <v>211</v>
      </c>
      <c r="B5">
        <v>100</v>
      </c>
      <c r="C5" t="s">
        <v>95</v>
      </c>
      <c r="D5" s="2" cm="1">
        <f t="array" ref="D5">fluidConvert(B5,C5,E5)</f>
        <v>689475.72931683622</v>
      </c>
      <c r="E5" t="s">
        <v>3</v>
      </c>
    </row>
    <row r="6" spans="1:5" x14ac:dyDescent="0.25">
      <c r="A6" t="s">
        <v>212</v>
      </c>
      <c r="B6">
        <v>14.7</v>
      </c>
      <c r="C6" t="s">
        <v>95</v>
      </c>
      <c r="D6" s="2" cm="1">
        <f t="array" ref="D6">fluidConvert(B6,C6,E6)</f>
        <v>101352.93220957491</v>
      </c>
      <c r="E6" t="s">
        <v>3</v>
      </c>
    </row>
    <row r="7" spans="1:5" x14ac:dyDescent="0.25">
      <c r="A7" t="s">
        <v>213</v>
      </c>
      <c r="B7">
        <v>70</v>
      </c>
      <c r="C7" t="s">
        <v>62</v>
      </c>
      <c r="D7" s="2" cm="1">
        <f t="array" ref="D7">fluidConvert(B7,C7,E7)</f>
        <v>294.26111111111106</v>
      </c>
      <c r="E7" t="s">
        <v>2</v>
      </c>
    </row>
    <row r="8" spans="1:5" x14ac:dyDescent="0.25">
      <c r="A8" t="s">
        <v>217</v>
      </c>
      <c r="B8" cm="1">
        <f t="array" ref="B8">fluidCircleArea(B2)</f>
        <v>1.9634954084936207E-5</v>
      </c>
      <c r="C8" t="s">
        <v>218</v>
      </c>
      <c r="D8" s="4" cm="1">
        <f t="array" ref="D8">fluidConvert(B8,C8,E8)</f>
        <v>1.2667686977437444E-8</v>
      </c>
      <c r="E8" t="s">
        <v>219</v>
      </c>
    </row>
    <row r="9" spans="1:5" x14ac:dyDescent="0.25">
      <c r="A9" t="s">
        <v>63</v>
      </c>
      <c r="B9" s="5" cm="1">
        <f t="array" ref="B9">fluidConvert(D9,E9,C9)</f>
        <v>1.2399358557237988E-2</v>
      </c>
      <c r="C9" t="s">
        <v>37</v>
      </c>
      <c r="D9" s="5" cm="1">
        <f t="array" ref="D9">fluidCdA(B3,D8,D5,D6,D7,B4)</f>
        <v>1.2399358557237987E-5</v>
      </c>
      <c r="E9" t="s">
        <v>35</v>
      </c>
    </row>
    <row r="10" spans="1:5" x14ac:dyDescent="0.25">
      <c r="A10" t="s">
        <v>87</v>
      </c>
      <c r="B10" s="3" cm="1">
        <f t="array" ref="B10">fluidConvert(D10,E10,C10)</f>
        <v>0.61620387684638067</v>
      </c>
      <c r="C10" t="s">
        <v>58</v>
      </c>
      <c r="D10" s="1" cm="1">
        <f t="array" ref="D10">fluidConvert(D9,E9,E10,B4,"ISO 2533",D5,D7)</f>
        <v>10.097732929881641</v>
      </c>
      <c r="E10" t="s">
        <v>52</v>
      </c>
    </row>
    <row r="11" spans="1:5" x14ac:dyDescent="0.25">
      <c r="A11" t="s">
        <v>222</v>
      </c>
      <c r="D11" t="str" cm="1">
        <f t="array" ref="D11">fluidCdA(B3,D8,D5,D6,D7,B4,A11)</f>
        <v>Choked</v>
      </c>
      <c r="E11" t="s">
        <v>45</v>
      </c>
    </row>
    <row r="12" spans="1:5" x14ac:dyDescent="0.25">
      <c r="A12" t="s">
        <v>221</v>
      </c>
      <c r="B12" s="3" cm="1">
        <f t="array" ref="B12">fluidConvert(D12,E12,C12)</f>
        <v>392.48773724579797</v>
      </c>
      <c r="C12" t="s">
        <v>137</v>
      </c>
      <c r="D12" s="2" cm="1">
        <f t="array" ref="D12">fluidCdA(B3,D8,D5,D6,D7,B4,A12)</f>
        <v>119.63026231251922</v>
      </c>
      <c r="E12" t="s">
        <v>133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No-Dependencies</vt:lpstr>
      <vt:lpstr>Unit Lists</vt:lpstr>
      <vt:lpstr>Cool-Prop-Dependent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George</cp:lastModifiedBy>
  <dcterms:created xsi:type="dcterms:W3CDTF">2022-08-19T02:16:22Z</dcterms:created>
  <dcterms:modified xsi:type="dcterms:W3CDTF">2023-05-30T01:11:36Z</dcterms:modified>
</cp:coreProperties>
</file>