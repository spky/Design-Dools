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051B5ED2-C2D2-405E-B9CB-725128B9C9F6}" xr6:coauthVersionLast="47" xr6:coauthVersionMax="47" xr10:uidLastSave="{00000000-0000-0000-0000-000000000000}"/>
  <bookViews>
    <workbookView xWindow="-120" yWindow="-120" windowWidth="38640" windowHeight="21240" xr2:uid="{1C68F3C9-BACF-4AE3-9327-A04E9D6F2DE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" i="1" l="1" a="1"/>
  <c r="AC1" i="1"/>
  <c r="AC2" i="1" a="1"/>
  <c r="AC2" i="1"/>
  <c r="AE2" i="1"/>
  <c r="AC3" i="1"/>
  <c r="AC4" i="1"/>
  <c r="AC5" i="1" s="1"/>
  <c r="AC6" i="1" s="1"/>
  <c r="AC7" i="1" a="1"/>
  <c r="AC7" i="1"/>
  <c r="AF7" i="1" s="1"/>
  <c r="G7" i="1" a="1"/>
  <c r="K15" i="1" a="1"/>
  <c r="O9" i="1" a="1"/>
  <c r="K9" i="1" a="1"/>
  <c r="K14" i="1" a="1"/>
  <c r="K16" i="1" a="1"/>
  <c r="O8" i="1" a="1"/>
  <c r="G8" i="1" a="1"/>
  <c r="K5" i="1" a="1"/>
  <c r="O5" i="1" a="1"/>
  <c r="K10" i="1" a="1"/>
  <c r="G3" i="1" a="1"/>
  <c r="K17" i="1" a="1"/>
  <c r="K20" i="1" a="1"/>
  <c r="K18" i="1" a="1"/>
  <c r="G10" i="1" a="1"/>
  <c r="K4" i="1" a="1"/>
  <c r="G6" i="1" a="1"/>
  <c r="G9" i="1" a="1"/>
  <c r="K6" i="1" a="1"/>
  <c r="O6" i="1" a="1"/>
  <c r="C9" i="1" a="1"/>
  <c r="K3" i="1" a="1"/>
  <c r="K8" i="1" a="1"/>
  <c r="O4" i="1" a="1"/>
  <c r="K12" i="1" a="1"/>
  <c r="G4" i="1" a="1"/>
  <c r="K7" i="1" a="1"/>
  <c r="K19" i="1" a="1"/>
  <c r="G11" i="1" a="1"/>
  <c r="K11" i="1" a="1"/>
  <c r="O7" i="1" a="1"/>
  <c r="G5" i="1" a="1"/>
  <c r="O3" i="1" a="1"/>
  <c r="K13" i="1" a="1"/>
  <c r="O10" i="1" a="1"/>
  <c r="W6" i="1" a="1"/>
  <c r="W7" i="1" a="1"/>
  <c r="W10" i="1" a="1"/>
  <c r="W11" i="1" a="1"/>
  <c r="W8" i="1" a="1"/>
  <c r="W9" i="1" a="1"/>
  <c r="C3" i="1" a="1"/>
  <c r="C4" i="1" a="1"/>
  <c r="C6" i="1" a="1"/>
  <c r="C5" i="1" a="1"/>
  <c r="S6" i="1" a="1"/>
  <c r="S12" i="1" a="1"/>
  <c r="S18" i="1" a="1"/>
  <c r="S8" i="1" a="1"/>
  <c r="S16" i="1" a="1"/>
  <c r="S17" i="1" a="1"/>
  <c r="S19" i="1" a="1"/>
  <c r="S15" i="1" a="1"/>
  <c r="S10" i="1" a="1"/>
  <c r="S11" i="1" a="1"/>
  <c r="S7" i="1" a="1"/>
  <c r="S13" i="1" a="1"/>
  <c r="S14" i="1" a="1"/>
  <c r="S9" i="1" a="1"/>
  <c r="S5" i="1" a="1"/>
  <c r="W6" i="1" l="1"/>
  <c r="Z6" i="1" s="1"/>
  <c r="W9" i="1"/>
  <c r="Z9" i="1" s="1"/>
  <c r="W8" i="1"/>
  <c r="Z8" i="1" s="1"/>
  <c r="W11" i="1"/>
  <c r="Z11" i="1" s="1"/>
  <c r="W10" i="1"/>
  <c r="Z10" i="1" s="1"/>
  <c r="W7" i="1"/>
  <c r="Z7" i="1" s="1"/>
  <c r="S9" i="1"/>
  <c r="S14" i="1"/>
  <c r="S13" i="1"/>
  <c r="S7" i="1"/>
  <c r="S11" i="1"/>
  <c r="S10" i="1"/>
  <c r="S15" i="1"/>
  <c r="S19" i="1"/>
  <c r="S17" i="1"/>
  <c r="S16" i="1"/>
  <c r="S8" i="1"/>
  <c r="S18" i="1"/>
  <c r="S12" i="1"/>
  <c r="S6" i="1"/>
  <c r="S5" i="1"/>
  <c r="C9" i="1"/>
  <c r="G3" i="1"/>
  <c r="O4" i="1"/>
  <c r="O3" i="1"/>
  <c r="G9" i="1"/>
  <c r="G8" i="1"/>
  <c r="G7" i="1"/>
  <c r="G6" i="1"/>
  <c r="G11" i="1"/>
  <c r="G5" i="1"/>
  <c r="G10" i="1"/>
  <c r="G4" i="1"/>
  <c r="K10" i="1"/>
  <c r="O6" i="1"/>
  <c r="O5" i="1"/>
  <c r="O9" i="1"/>
  <c r="O8" i="1"/>
  <c r="O7" i="1"/>
  <c r="O10" i="1"/>
  <c r="K5" i="1"/>
  <c r="K15" i="1"/>
  <c r="K9" i="1"/>
  <c r="K20" i="1"/>
  <c r="K14" i="1"/>
  <c r="K8" i="1"/>
  <c r="K19" i="1"/>
  <c r="K13" i="1"/>
  <c r="K7" i="1"/>
  <c r="K18" i="1"/>
  <c r="K12" i="1"/>
  <c r="K6" i="1"/>
  <c r="K17" i="1"/>
  <c r="K11" i="1"/>
  <c r="K16" i="1"/>
  <c r="K4" i="1"/>
  <c r="K3" i="1"/>
  <c r="C3" i="1"/>
  <c r="C6" i="1"/>
  <c r="C5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<sst xmlns="http://schemas.openxmlformats.org/spreadsheetml/2006/main" count="115" uniqueCount="89">
  <si>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</si>
  <si>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</si>
  <si>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</si>
  <si>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</si>
  <si>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</si>
  <si>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</si>
  <si>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</si>
  <si>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</si>
  <si>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</si>
  <si>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</si>
  <si>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</si>
  <si>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m3/m</t>
  </si>
  <si>
    <t>m3/hr</t>
  </si>
  <si>
    <t>cm3/s</t>
  </si>
  <si>
    <t>cm3/m</t>
  </si>
  <si>
    <t>cm3/hr</t>
  </si>
  <si>
    <t>L/s</t>
  </si>
  <si>
    <t>L/m</t>
  </si>
  <si>
    <t>L/hr</t>
  </si>
  <si>
    <t>in3/s</t>
  </si>
  <si>
    <t>in3/m</t>
  </si>
  <si>
    <t>in3/hr</t>
  </si>
  <si>
    <t>ft3/s</t>
  </si>
  <si>
    <t>ft3/m</t>
  </si>
  <si>
    <t>ft3/hr</t>
  </si>
  <si>
    <t>gal/s</t>
  </si>
  <si>
    <t>gal/m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</si>
  <si>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</si>
  <si>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</si>
  <si>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</si>
  <si>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</si>
  <si>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</si>
  <si>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</si>
  <si>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</si>
  <si>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</si>
  <si>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</si>
  <si>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</si>
  <si>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</si>
  <si>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</si>
  <si>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</si>
  <si>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</si>
  <si>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</si>
  <si>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kg/m</t>
  </si>
  <si>
    <t>kg/hr</t>
  </si>
  <si>
    <t>g/s</t>
  </si>
  <si>
    <t>g/m</t>
  </si>
  <si>
    <t>g/hr</t>
  </si>
  <si>
    <t>lbm/s</t>
  </si>
  <si>
    <t>lbm/m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</si>
  <si>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</si>
  <si>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</si>
  <si>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</si>
  <si>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</si>
  <si>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</si>
  <si>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</si>
  <si>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</si>
  <si>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</si>
  <si>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</si>
  <si>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</si>
  <si>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</si>
  <si>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</si>
  <si>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</si>
  <si>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</si>
  <si>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</si>
  <si>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</si>
  <si>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</si>
  <si>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</si>
  <si>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</si>
  <si>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</si>
  <si>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</si>
  <si>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</si>
  <si>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He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</si>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</sst>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AG20"/>
  <sheetViews>
    <sheetView tabSelected="1" topLeftCell="B1" zoomScale="85" zoomScaleNormal="85" workbookViewId="0">
      <selection activeCell="W16" sqref="W16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7.42578125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6.42578125" bestFit="1" customWidth="1"/>
    <col min="21" max="21" width="1.7109375" customWidth="1"/>
    <col min="22" max="22" width="12.7109375" bestFit="1" customWidth="1"/>
    <col min="23" max="23" width="48" bestFit="1" customWidth="1"/>
    <col min="24" max="24" width="6.42578125" bestFit="1" customWidth="1"/>
    <col min="25" max="25" width="14.28515625" bestFit="1" customWidth="1"/>
    <col min="26" max="26" width="12.28515625" bestFit="1" customWidth="1"/>
    <col min="27" max="27" width="1.7109375" customWidth="1"/>
    <col min="28" max="28" width="21.140625" bestFit="1" customWidth="1"/>
    <col min="29" max="29" width="12.28515625" bestFit="1" customWidth="1"/>
    <col min="30" max="30" width="6.7109375" bestFit="1" customWidth="1"/>
    <col min="31" max="32" width="12.28515625" bestFit="1" customWidth="1"/>
    <col min="33" max="33" width="59.28515625" bestFit="1" customWidth="1"/>
  </cols>
  <sheetData>
    <row r="1" spans="2:33" x14ac:dyDescent="0.25">
      <c r="G1" t="s">
        <v>40</v>
      </c>
      <c r="K1" t="s">
        <v>38</v>
      </c>
      <c r="O1" t="s">
        <v>39</v>
      </c>
      <c r="S1" t="s">
        <v>51</v>
      </c>
      <c r="W1" t="s">
        <v>88</v>
      </c>
      <c r="AB1" t="s">
        <v>73</v>
      </c>
      <c r="AC1" cm="1">
        <f t="array" ref="AC1">fluidMassFlowConvert(W2,X2,AD1)</f>
        <v>1E-3</v>
      </c>
      <c r="AD1" t="s">
        <v>41</v>
      </c>
    </row>
    <row r="2" spans="2:33" x14ac:dyDescent="0.25">
      <c r="B2" t="s">
        <v>0</v>
      </c>
      <c r="C2" t="s">
        <v>1</v>
      </c>
      <c r="F2" t="s">
        <v>28</v>
      </c>
      <c r="G2">
        <v>1</v>
      </c>
      <c r="H2" t="s">
        <v>41</v>
      </c>
      <c r="J2" t="s">
        <v>28</v>
      </c>
      <c r="K2">
        <v>1</v>
      </c>
      <c r="L2" t="s">
        <v>29</v>
      </c>
      <c r="N2" t="s">
        <v>28</v>
      </c>
      <c r="O2">
        <v>1</v>
      </c>
      <c r="P2" t="s">
        <v>30</v>
      </c>
      <c r="R2" t="s">
        <v>28</v>
      </c>
      <c r="S2">
        <v>1</v>
      </c>
      <c r="T2" t="s">
        <v>44</v>
      </c>
      <c r="V2" t="s">
        <v>28</v>
      </c>
      <c r="W2">
        <v>1</v>
      </c>
      <c r="X2" t="s">
        <v>44</v>
      </c>
      <c r="AB2" t="s">
        <v>74</v>
      </c>
      <c r="AC2" cm="1">
        <f t="array" ref="AC2">fluidGasConstant("O2")</f>
        <v>259.83498859339352</v>
      </c>
      <c r="AD2" t="s">
        <v>75</v>
      </c>
      <c r="AE2">
        <f>AC2/1000</f>
        <v>0.25983498859339355</v>
      </c>
    </row>
    <row r="3" spans="2:33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fluidMassFlowConvert($G$2,$H$2,H3)</f>
        <v>1</v>
      </c>
      <c r="H3" t="s">
        <v>41</v>
      </c>
      <c r="K3" cm="1">
        <f t="array" ref="K3">fluidVolumeFlowConvert($K$2,$L$2,L3)</f>
        <v>9.9999999999999995E-7</v>
      </c>
      <c r="L3" t="s">
        <v>10</v>
      </c>
      <c r="O3" cm="1">
        <f t="array" ref="O3">fluidDensityConvert(O$2,$P$2,P3)</f>
        <v>1</v>
      </c>
      <c r="P3" t="s">
        <v>30</v>
      </c>
      <c r="R3" t="s">
        <v>52</v>
      </c>
      <c r="S3" t="s">
        <v>71</v>
      </c>
      <c r="T3" t="s">
        <v>54</v>
      </c>
      <c r="V3" t="s">
        <v>52</v>
      </c>
      <c r="W3" t="s">
        <v>53</v>
      </c>
      <c r="X3" t="s">
        <v>54</v>
      </c>
      <c r="AB3" t="s">
        <v>76</v>
      </c>
      <c r="AC3">
        <f>CONVERT(AE3,"F","K")</f>
        <v>288.14999999999998</v>
      </c>
      <c r="AD3" t="s">
        <v>2</v>
      </c>
      <c r="AE3">
        <v>59</v>
      </c>
      <c r="AF3" t="s">
        <v>72</v>
      </c>
      <c r="AG3" t="s">
        <v>81</v>
      </c>
    </row>
    <row r="4" spans="2:33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fluidMassFlowConvert($G$2,$H$2,H4)</f>
        <v>60</v>
      </c>
      <c r="H4" t="s">
        <v>42</v>
      </c>
      <c r="K4" cm="1">
        <f t="array" ref="K4">fluidVolumeFlowConvert($K$2,$L$2,L4)</f>
        <v>5.9999999999999995E-5</v>
      </c>
      <c r="L4" t="s">
        <v>11</v>
      </c>
      <c r="O4" cm="1">
        <f t="array" ref="O4">fluidDensityConvert(O$2,$P$2,P4)</f>
        <v>9.9999999999999995E-7</v>
      </c>
      <c r="P4" t="s">
        <v>31</v>
      </c>
      <c r="R4" t="s">
        <v>0</v>
      </c>
      <c r="S4" t="s">
        <v>70</v>
      </c>
      <c r="T4" t="s">
        <v>54</v>
      </c>
      <c r="V4" t="s">
        <v>0</v>
      </c>
      <c r="W4" t="s">
        <v>83</v>
      </c>
      <c r="X4" t="s">
        <v>54</v>
      </c>
      <c r="AB4" t="s">
        <v>77</v>
      </c>
      <c r="AC4">
        <f>CONVERT(AE4,"kPa","Pa")</f>
        <v>101325</v>
      </c>
      <c r="AD4" t="s">
        <v>3</v>
      </c>
      <c r="AE4">
        <v>101.325</v>
      </c>
      <c r="AF4" t="s">
        <v>80</v>
      </c>
      <c r="AG4" t="s">
        <v>82</v>
      </c>
    </row>
    <row r="5" spans="2:33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fluidMassFlowConvert($G$2,$H$2,H5)</f>
        <v>3600</v>
      </c>
      <c r="H5" t="s">
        <v>43</v>
      </c>
      <c r="K5" cm="1">
        <f t="array" ref="K5">fluidVolumeFlowConvert($K$2,$L$2,L5)</f>
        <v>3.5999999999999999E-3</v>
      </c>
      <c r="L5" t="s">
        <v>12</v>
      </c>
      <c r="O5" cm="1">
        <f t="array" ref="O5">fluidDensityConvert(O$2,$P$2,P5)</f>
        <v>1E-3</v>
      </c>
      <c r="P5" t="s">
        <v>32</v>
      </c>
      <c r="S5" cm="1">
        <f t="array" ref="S5">fluidMassFlowToStandardFlow($S$2,$T$2,T5,$S$3,$S$4)</f>
        <v>6.0697717489619739E-3</v>
      </c>
      <c r="T5" t="s">
        <v>55</v>
      </c>
      <c r="W5" t="s">
        <v>86</v>
      </c>
      <c r="X5" t="s">
        <v>87</v>
      </c>
      <c r="Y5" t="s">
        <v>84</v>
      </c>
      <c r="Z5" t="s">
        <v>85</v>
      </c>
      <c r="AB5" t="s">
        <v>78</v>
      </c>
      <c r="AC5">
        <f>AC4/AC2/AC3</f>
        <v>1.3533195542918099</v>
      </c>
      <c r="AD5" t="s">
        <v>30</v>
      </c>
    </row>
    <row r="6" spans="2:33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fluidMassFlowConvert($G$2,$H$2,H6)</f>
        <v>1000</v>
      </c>
      <c r="H6" t="s">
        <v>44</v>
      </c>
      <c r="K6" cm="1">
        <f t="array" ref="K6">fluidVolumeFlowConvert($K$2,$L$2,L6)</f>
        <v>1</v>
      </c>
      <c r="L6" t="s">
        <v>13</v>
      </c>
      <c r="O6" cm="1">
        <f t="array" ref="O6">fluidDensityConvert(O$2,$P$2,P6)</f>
        <v>1000</v>
      </c>
      <c r="P6" t="s">
        <v>33</v>
      </c>
      <c r="S6" cm="1">
        <f t="array" ref="S6">fluidMassFlowToStandardFlow($S$2,$T$2,T6,$S$3,$S$4)</f>
        <v>0.36418630493771842</v>
      </c>
      <c r="T6" t="s">
        <v>56</v>
      </c>
      <c r="W6" cm="1">
        <f t="array" ref="W6">fluidMassFlowToStandardFlow($W$2,$X$2,X6,$W$3,$W$4)</f>
        <v>2705.5243042147636</v>
      </c>
      <c r="X6" t="s">
        <v>68</v>
      </c>
      <c r="Y6">
        <v>2704.7220000000002</v>
      </c>
      <c r="Z6">
        <f>W6-Y6</f>
        <v>0.80230421476335323</v>
      </c>
      <c r="AB6" t="s">
        <v>79</v>
      </c>
      <c r="AC6">
        <f>AC1/AC5</f>
        <v>7.3892377955278902E-4</v>
      </c>
      <c r="AD6" t="s">
        <v>10</v>
      </c>
    </row>
    <row r="7" spans="2:33" x14ac:dyDescent="0.25">
      <c r="G7" cm="1">
        <f t="array" ref="G7">fluidMassFlowConvert($G$2,$H$2,H7)</f>
        <v>60000</v>
      </c>
      <c r="H7" t="s">
        <v>45</v>
      </c>
      <c r="K7" cm="1">
        <f t="array" ref="K7">fluidVolumeFlowConvert($K$2,$L$2,L7)</f>
        <v>60</v>
      </c>
      <c r="L7" t="s">
        <v>14</v>
      </c>
      <c r="O7" cm="1">
        <f t="array" ref="O7">fluidDensityConvert(O$2,$P$2,P7)</f>
        <v>1</v>
      </c>
      <c r="P7" t="s">
        <v>34</v>
      </c>
      <c r="S7" cm="1">
        <f t="array" ref="S7">fluidMassFlowToStandardFlow($S$2,$T$2,T7,$S$3,$S$4)</f>
        <v>21.851178296263107</v>
      </c>
      <c r="T7" t="s">
        <v>57</v>
      </c>
      <c r="W7" cm="1">
        <f t="array" ref="W7">fluidMassFlowToStandardFlow($W$2,$X$2,X7,$W$3,$W$4)</f>
        <v>1.5656933966114581</v>
      </c>
      <c r="X7" t="s">
        <v>65</v>
      </c>
      <c r="Y7">
        <v>1.565232</v>
      </c>
      <c r="Z7">
        <f t="shared" ref="Z7:Z11" si="0">W7-Y7</f>
        <v>4.6139661145816468E-4</v>
      </c>
      <c r="AC7" cm="1">
        <f t="array" ref="AC7">fluidVolumeFlowConvert(AC6,AD6,AD7)</f>
        <v>738.92377955278903</v>
      </c>
      <c r="AD7" t="s">
        <v>29</v>
      </c>
      <c r="AE7">
        <v>738.7079</v>
      </c>
      <c r="AF7">
        <f>AC7-AE7</f>
        <v>0.21587955278903337</v>
      </c>
    </row>
    <row r="8" spans="2:33" x14ac:dyDescent="0.25">
      <c r="G8" cm="1">
        <f t="array" ref="G8">fluidMassFlowConvert($G$2,$H$2,H8)</f>
        <v>3600000</v>
      </c>
      <c r="H8" t="s">
        <v>46</v>
      </c>
      <c r="K8" cm="1">
        <f t="array" ref="K8">fluidVolumeFlowConvert($K$2,$L$2,L8)</f>
        <v>3600</v>
      </c>
      <c r="L8" t="s">
        <v>15</v>
      </c>
      <c r="O8" cm="1">
        <f t="array" ref="O8">fluidDensityConvert(O$2,$P$2,P8)</f>
        <v>3.6127298147753422E-5</v>
      </c>
      <c r="P8" t="s">
        <v>35</v>
      </c>
      <c r="S8" cm="1">
        <f t="array" ref="S8">fluidMassFlowToStandardFlow($S$2,$T$2,T8,$S$3,$S$4)</f>
        <v>6.0697717489619736</v>
      </c>
      <c r="T8" t="s">
        <v>58</v>
      </c>
      <c r="W8" cm="1">
        <f t="array" ref="W8">fluidMassFlowToStandardFlow($W$2,$X$2,X8,$W$3,$W$4)</f>
        <v>44.335426773167335</v>
      </c>
      <c r="X8" t="s">
        <v>59</v>
      </c>
      <c r="Y8">
        <v>44.322479999999999</v>
      </c>
      <c r="Z8">
        <f t="shared" si="0"/>
        <v>1.2946773167335834E-2</v>
      </c>
    </row>
    <row r="9" spans="2:33" x14ac:dyDescent="0.25">
      <c r="B9" t="s">
        <v>50</v>
      </c>
      <c r="C9" cm="1">
        <f t="array" ref="C9">fluidUniversalGasConstant()</f>
        <v>8.3144597999999998</v>
      </c>
      <c r="G9" cm="1">
        <f t="array" ref="G9">fluidMassFlowConvert($G$2,$H$2,H9)</f>
        <v>2.2046244201837775</v>
      </c>
      <c r="H9" t="s">
        <v>47</v>
      </c>
      <c r="K9" cm="1">
        <f t="array" ref="K9">fluidVolumeFlowConvert($K$2,$L$2,L9)</f>
        <v>1E-3</v>
      </c>
      <c r="L9" t="s">
        <v>16</v>
      </c>
      <c r="O9" cm="1">
        <f t="array" ref="O9">fluidDensityConvert(O$2,$P$2,P9)</f>
        <v>6.2429766512673242E-2</v>
      </c>
      <c r="P9" t="s">
        <v>36</v>
      </c>
      <c r="S9" cm="1">
        <f t="array" ref="S9">fluidMassFlowToStandardFlow($S$2,$T$2,T9,$S$3,$S$4)</f>
        <v>364.18630493771843</v>
      </c>
      <c r="T9" t="s">
        <v>59</v>
      </c>
      <c r="W9" cm="1">
        <f t="array" ref="W9">fluidMassFlowToStandardFlow($W$2,$X$2,X9,$W$3,$W$4)</f>
        <v>0.73892377955278887</v>
      </c>
      <c r="X9" t="s">
        <v>58</v>
      </c>
      <c r="Y9">
        <v>0.73870800000000003</v>
      </c>
      <c r="Z9">
        <f t="shared" si="0"/>
        <v>2.1577955278884176E-4</v>
      </c>
    </row>
    <row r="10" spans="2:33" x14ac:dyDescent="0.25">
      <c r="G10" cm="1">
        <f t="array" ref="G10">fluidMassFlowConvert($G$2,$H$2,H10)</f>
        <v>132.27746521102665</v>
      </c>
      <c r="H10" t="s">
        <v>48</v>
      </c>
      <c r="K10" cm="1">
        <f t="array" ref="K10">fluidVolumeFlowConvert($K$2,$L$2,L10)</f>
        <v>0.06</v>
      </c>
      <c r="L10" t="s">
        <v>17</v>
      </c>
      <c r="O10" cm="1">
        <f t="array" ref="O10">fluidDensityConvert(O$2,$P$2,P10)</f>
        <v>8.3454342129421002E-3</v>
      </c>
      <c r="P10" t="s">
        <v>37</v>
      </c>
      <c r="S10" cm="1">
        <f t="array" ref="S10">fluidMassFlowToStandardFlow($S$2,$T$2,T10,$S$3,$S$4)</f>
        <v>21851.178296263108</v>
      </c>
      <c r="T10" t="s">
        <v>60</v>
      </c>
      <c r="W10" cm="1">
        <f t="array" ref="W10">fluidMassFlowToStandardFlow($W$2,$X$2,X10,$W$3,$W$4)</f>
        <v>44335.426773167332</v>
      </c>
      <c r="X10" t="s">
        <v>62</v>
      </c>
      <c r="Y10">
        <v>44322.48</v>
      </c>
      <c r="Z10">
        <f t="shared" si="0"/>
        <v>12.946773167328502</v>
      </c>
    </row>
    <row r="11" spans="2:33" x14ac:dyDescent="0.25">
      <c r="G11" cm="1">
        <f t="array" ref="G11">fluidMassFlowConvert($G$2,$H$2,H11)</f>
        <v>7936.6479126615986</v>
      </c>
      <c r="H11" t="s">
        <v>49</v>
      </c>
      <c r="K11" cm="1">
        <f t="array" ref="K11">fluidVolumeFlowConvert($K$2,$L$2,L11)</f>
        <v>3.5999999999999996</v>
      </c>
      <c r="L11" t="s">
        <v>18</v>
      </c>
      <c r="S11" cm="1">
        <f t="array" ref="S11">fluidMassFlowToStandardFlow($S$2,$T$2,T11,$S$3,$S$4)</f>
        <v>6069.7717489619736</v>
      </c>
      <c r="T11" t="s">
        <v>61</v>
      </c>
      <c r="W11" cm="1">
        <f t="array" ref="W11">fluidMassFlowToStandardFlow($W$2,$X$2,X11,$W$3,$W$4)</f>
        <v>738.92377955278891</v>
      </c>
      <c r="X11" t="s">
        <v>61</v>
      </c>
      <c r="Y11">
        <v>738.7079</v>
      </c>
      <c r="Z11">
        <f t="shared" si="0"/>
        <v>0.21587955278891968</v>
      </c>
    </row>
    <row r="12" spans="2:33" x14ac:dyDescent="0.25">
      <c r="K12" cm="1">
        <f t="array" ref="K12">fluidVolumeFlowConvert($K$2,$L$2,L12)</f>
        <v>6.1023982425093055E-2</v>
      </c>
      <c r="L12" t="s">
        <v>19</v>
      </c>
      <c r="S12" cm="1">
        <f t="array" ref="S12">fluidMassFlowToStandardFlow($S$2,$T$2,T12,$S$3,$S$4)</f>
        <v>364186.30493771844</v>
      </c>
      <c r="T12" t="s">
        <v>62</v>
      </c>
    </row>
    <row r="13" spans="2:33" x14ac:dyDescent="0.25">
      <c r="K13" cm="1">
        <f t="array" ref="K13">fluidVolumeFlowConvert($K$2,$L$2,L13)</f>
        <v>3.6614389455055831</v>
      </c>
      <c r="L13" t="s">
        <v>20</v>
      </c>
      <c r="S13" cm="1">
        <f t="array" ref="S13">fluidMassFlowToStandardFlow($S$2,$T$2,T13,$S$3,$S$4)</f>
        <v>21851178.296263106</v>
      </c>
      <c r="T13" t="s">
        <v>63</v>
      </c>
    </row>
    <row r="14" spans="2:33" x14ac:dyDescent="0.25">
      <c r="K14" cm="1">
        <f t="array" ref="K14">fluidVolumeFlowConvert($K$2,$L$2,L14)</f>
        <v>219.686336730335</v>
      </c>
      <c r="L14" t="s">
        <v>21</v>
      </c>
      <c r="S14" cm="1">
        <f t="array" ref="S14">fluidMassFlowToStandardFlow($S$2,$T$2,T14,$S$3,$S$4)</f>
        <v>0.21435231908132182</v>
      </c>
      <c r="T14" t="s">
        <v>64</v>
      </c>
    </row>
    <row r="15" spans="2:33" x14ac:dyDescent="0.25">
      <c r="K15" cm="1">
        <f t="array" ref="K15">fluidVolumeFlowConvert($K$2,$L$2,L15)</f>
        <v>3.5314724827664145E-5</v>
      </c>
      <c r="L15" t="s">
        <v>22</v>
      </c>
      <c r="S15" cm="1">
        <f t="array" ref="S15">fluidMassFlowToStandardFlow($S$2,$T$2,T15,$S$3,$S$4)</f>
        <v>12.86113914487931</v>
      </c>
      <c r="T15" t="s">
        <v>65</v>
      </c>
    </row>
    <row r="16" spans="2:33" x14ac:dyDescent="0.25">
      <c r="K16" cm="1">
        <f t="array" ref="K16">fluidVolumeFlowConvert($K$2,$L$2,L16)</f>
        <v>2.1188834896598485E-3</v>
      </c>
      <c r="L16" t="s">
        <v>23</v>
      </c>
      <c r="S16" cm="1">
        <f t="array" ref="S16">fluidMassFlowToStandardFlow($S$2,$T$2,T16,$S$3,$S$4)</f>
        <v>1333445.9203187346</v>
      </c>
      <c r="T16" t="s">
        <v>66</v>
      </c>
    </row>
    <row r="17" spans="11:20" x14ac:dyDescent="0.25">
      <c r="K17" cm="1">
        <f t="array" ref="K17">fluidVolumeFlowConvert($K$2,$L$2,L17)</f>
        <v>0.12713300937959091</v>
      </c>
      <c r="L17" t="s">
        <v>24</v>
      </c>
      <c r="S17" cm="1">
        <f t="array" ref="S17">fluidMassFlowToStandardFlow($S$2,$T$2,T17,$S$3,$S$4)</f>
        <v>370.40164453298183</v>
      </c>
      <c r="T17" t="s">
        <v>67</v>
      </c>
    </row>
    <row r="18" spans="11:20" x14ac:dyDescent="0.25">
      <c r="K18" cm="1">
        <f t="array" ref="K18">fluidVolumeFlowConvert($K$2,$L$2,L18)</f>
        <v>2.6417200000000002E-4</v>
      </c>
      <c r="L18" t="s">
        <v>25</v>
      </c>
      <c r="S18" cm="1">
        <f t="array" ref="S18">fluidMassFlowToStandardFlow($S$2,$T$2,T18,$S$3,$S$4)</f>
        <v>22224.098671978911</v>
      </c>
      <c r="T18" t="s">
        <v>68</v>
      </c>
    </row>
    <row r="19" spans="11:20" x14ac:dyDescent="0.25">
      <c r="K19" cm="1">
        <f t="array" ref="K19">fluidVolumeFlowConvert($K$2,$L$2,L19)</f>
        <v>1.5850320000000001E-2</v>
      </c>
      <c r="L19" t="s">
        <v>26</v>
      </c>
      <c r="S19" cm="1">
        <f t="array" ref="S19">fluidMassFlowToStandardFlow($S$2,$T$2,T19,$S$3,$S$4)</f>
        <v>1333445.9203187346</v>
      </c>
      <c r="T19" t="s">
        <v>69</v>
      </c>
    </row>
    <row r="20" spans="11:20" x14ac:dyDescent="0.25">
      <c r="K20" cm="1">
        <f t="array" ref="K20">fluidVolumeFlowConvert($K$2,$L$2,L20)</f>
        <v>0.95101920000000006</v>
      </c>
      <c r="L20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2023-04-29T21:59:35Z</dcterms:modified>
</cp:coreProperties>
</file>